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Guerrero\Downloads\"/>
    </mc:Choice>
  </mc:AlternateContent>
  <xr:revisionPtr revIDLastSave="0" documentId="8_{3FD1D991-FB35-4BDC-BFEF-74DB8D4A82EF}" xr6:coauthVersionLast="47" xr6:coauthVersionMax="47" xr10:uidLastSave="{00000000-0000-0000-0000-000000000000}"/>
  <workbookProtection workbookPassword="D9AF" lockStructure="1"/>
  <bookViews>
    <workbookView xWindow="-108" yWindow="-108" windowWidth="23256" windowHeight="12456" tabRatio="803" xr2:uid="{D8490E8C-79B6-4D1A-BFC7-9098F2C38C51}"/>
  </bookViews>
  <sheets>
    <sheet name="Cover" sheetId="16" r:id="rId1"/>
    <sheet name="Eave Struts" sheetId="46" r:id="rId2"/>
    <sheet name="Cold Form Members (CEE)" sheetId="85" r:id="rId3"/>
    <sheet name="Cold Form Members (ZEE)" sheetId="86" r:id="rId4"/>
    <sheet name="Cold Form Members (ZEE) (2)" sheetId="168" r:id="rId5"/>
    <sheet name="Cold Form Members (ZEE) (3)" sheetId="169" r:id="rId6"/>
    <sheet name="Misc. Cold Form" sheetId="50" r:id="rId7"/>
    <sheet name="Clips" sheetId="51" r:id="rId8"/>
    <sheet name="Pre-Galv Clips" sheetId="89" r:id="rId9"/>
    <sheet name="Standing Seam Hardware" sheetId="178" r:id="rId10"/>
    <sheet name="Screws" sheetId="182" r:id="rId11"/>
    <sheet name="34" sheetId="154" state="hidden" r:id="rId12"/>
    <sheet name="33" sheetId="135" state="hidden" r:id="rId13"/>
    <sheet name="Logos-ASB2" sheetId="152" state="hidden" r:id="rId14"/>
    <sheet name="Data Page" sheetId="99" state="hidden" r:id="rId15"/>
    <sheet name="AdjShip" sheetId="100" state="hidden" r:id="rId16"/>
    <sheet name="1" sheetId="101" state="hidden" r:id="rId17"/>
    <sheet name="2" sheetId="102" state="hidden" r:id="rId18"/>
    <sheet name="3" sheetId="103" state="hidden" r:id="rId19"/>
    <sheet name="4" sheetId="104" state="hidden" r:id="rId20"/>
    <sheet name="5" sheetId="105" state="hidden" r:id="rId21"/>
    <sheet name="6" sheetId="106" state="hidden" r:id="rId22"/>
    <sheet name="7" sheetId="107" state="hidden" r:id="rId23"/>
    <sheet name="8" sheetId="108" state="hidden" r:id="rId24"/>
    <sheet name="9" sheetId="109" state="hidden" r:id="rId25"/>
    <sheet name="10" sheetId="110" state="hidden" r:id="rId26"/>
    <sheet name="11" sheetId="111" state="hidden" r:id="rId27"/>
    <sheet name="12" sheetId="112" state="hidden" r:id="rId28"/>
    <sheet name="13" sheetId="113" state="hidden" r:id="rId29"/>
    <sheet name="14" sheetId="114" state="hidden" r:id="rId30"/>
    <sheet name="15" sheetId="115" state="hidden" r:id="rId31"/>
    <sheet name="16" sheetId="116" state="hidden" r:id="rId32"/>
    <sheet name="17" sheetId="117" state="hidden" r:id="rId33"/>
    <sheet name="18" sheetId="118" state="hidden" r:id="rId34"/>
    <sheet name="19" sheetId="119" state="hidden" r:id="rId35"/>
    <sheet name="20" sheetId="120" state="hidden" r:id="rId36"/>
    <sheet name="21" sheetId="121" state="hidden" r:id="rId37"/>
    <sheet name="22" sheetId="122" state="hidden" r:id="rId38"/>
    <sheet name="23" sheetId="123" state="hidden" r:id="rId39"/>
    <sheet name="24" sheetId="124" state="hidden" r:id="rId40"/>
    <sheet name="25" sheetId="125" state="hidden" r:id="rId41"/>
    <sheet name="26" sheetId="126" state="hidden" r:id="rId42"/>
    <sheet name="27" sheetId="127" state="hidden" r:id="rId43"/>
    <sheet name="28" sheetId="128" state="hidden" r:id="rId44"/>
    <sheet name="29" sheetId="129" state="hidden" r:id="rId45"/>
    <sheet name="30" sheetId="130" state="hidden" r:id="rId46"/>
    <sheet name="31" sheetId="131" state="hidden" r:id="rId47"/>
    <sheet name="32" sheetId="132" state="hidden" r:id="rId48"/>
    <sheet name="35" sheetId="158" state="hidden" r:id="rId49"/>
  </sheets>
  <definedNames>
    <definedName name="Base">'Data Page'!$C$94:$C$96</definedName>
    <definedName name="BoltColor">'Data Page'!$M$15:$M$16</definedName>
    <definedName name="BoltLength">'Data Page'!$L$35:$L$71</definedName>
    <definedName name="Bolts">'Data Page'!$K$35:$K$78</definedName>
    <definedName name="Cees">'Data Page'!$D$2:$D$22</definedName>
    <definedName name="ClipDesc">'Data Page'!$B$112:$B$190</definedName>
    <definedName name="Clips">'Data Page'!$A$112:$A$191</definedName>
    <definedName name="Closer">'Data Page'!$C$86:$C$88</definedName>
    <definedName name="Coatings">'Data Page'!$A$35:$A$38</definedName>
    <definedName name="CoatingsMinus">'Data Page'!$M$22:$M$24</definedName>
    <definedName name="ColdForm">'Data Page'!$D$35:$D$58</definedName>
    <definedName name="Colors">'Data Page'!$A$2:$A$31</definedName>
    <definedName name="COMTRIM">'Data Page'!$R$2:$R$403</definedName>
    <definedName name="DoorColor">'Data Page'!$E$79:$E$80</definedName>
    <definedName name="Doors">'Data Page'!$A$201:$A$213</definedName>
    <definedName name="EaveStruts">'Data Page'!$F$35:$F$57</definedName>
    <definedName name="EWPANEL">'Data Page'!$L$401:$L$416</definedName>
    <definedName name="FBDesc">'Data Page'!$H$42:$H$43</definedName>
    <definedName name="FinTrim">'Data Page'!$G$73:$G$74</definedName>
    <definedName name="FinType">'Data Page'!$E$73:$E$76</definedName>
    <definedName name="FlangeBraces">'Data Page'!$H$35:$H$38</definedName>
    <definedName name="Frame">'Data Page'!$C$73:$C$74</definedName>
    <definedName name="FrameColor">'Data Page'!$F$301:$F$320</definedName>
    <definedName name="FrameSize">'Data Page'!$J$82:$J$84</definedName>
    <definedName name="Gage">'Data Page'!$K$105:$K$106</definedName>
    <definedName name="GalvClipDesc">'Data Page'!$G$113:$G$119</definedName>
    <definedName name="GalvClips">'Data Page'!$F$113:$F$119</definedName>
    <definedName name="Glass">'Data Page'!$A$73:$A$76</definedName>
    <definedName name="Handle">'Data Page'!$M$92:$M$93</definedName>
    <definedName name="HotRolled">'Data Page'!$Y$2:$Y$165</definedName>
    <definedName name="Locks">'Data Page'!$G$86:$G$94</definedName>
    <definedName name="Louvers">'Data Page'!$D$105:$D$111</definedName>
    <definedName name="MasticColor">'Data Page'!$M$2:$M$5</definedName>
    <definedName name="Misc.">'Data Page'!$C$372:$C$393</definedName>
    <definedName name="Misc.Color">'Data Page'!$F$372:$F$393</definedName>
    <definedName name="Misc.Des">'Data Page'!$D$372:$D$393</definedName>
    <definedName name="Misc.Length">'Data Page'!$G$372:$G$393</definedName>
    <definedName name="Misc.Part">'Data Page'!$E$372:$E$393</definedName>
    <definedName name="Misc.Part2">'Data Page'!$I$372:$I$391</definedName>
    <definedName name="Mullion">'Data Page'!$E$86:$E$87</definedName>
    <definedName name="PANELS">'Data Page'!$J$401:$J$416</definedName>
    <definedName name="PGColor">'Data Page'!$M$11</definedName>
    <definedName name="_xlnm.Print_Area" localSheetId="16">'1'!$A$1:$N$39</definedName>
    <definedName name="_xlnm.Print_Area" localSheetId="0">Cover!$A$1:$N$37</definedName>
    <definedName name="RidgeColor">'Data Page'!$I$92:$I$93</definedName>
    <definedName name="RidgeFins">'Data Page'!$K$92:$K$93</definedName>
    <definedName name="RidgeVents">'Data Page'!$D$92:$D$93</definedName>
    <definedName name="ROOF">'Data Page'!$L$423:$L$432</definedName>
    <definedName name="RoofColors">'Data Page'!$G$2:$G$32</definedName>
    <definedName name="Screen">'Data Page'!$G$105:$G$106</definedName>
    <definedName name="ScrewColors">'Data Page'!$J$2:$J$30</definedName>
    <definedName name="ScrewLength">'Data Page'!$AH$3:$AH$21</definedName>
    <definedName name="Screws">'Data Page'!$AF$3:$AF$21</definedName>
    <definedName name="Skirt">'Data Page'!$K$100:$K$101</definedName>
    <definedName name="SSR">'Data Page'!$P$539:$P$542</definedName>
    <definedName name="SSRHDW">'Data Page'!$F$141:$F$173</definedName>
    <definedName name="SSRHDWDESC">'Data Page'!$G$141:$G$173</definedName>
    <definedName name="SSRSkylight">'Data Page'!$AL$3:$AL$6</definedName>
    <definedName name="Swing">'Data Page'!$G$79:$G$83</definedName>
    <definedName name="SWPANEL">'Data Page'!$P$517:$P$532</definedName>
    <definedName name="TRIMDATA">'Data Page'!$P$2:$Q$403</definedName>
    <definedName name="TRIMDESC">'Data Page'!$Q$2:$Q$403</definedName>
    <definedName name="TRIMMARK">'Data Page'!$P$2:$P$403</definedName>
    <definedName name="VentColor">'Data Page'!$I$100:$I$101</definedName>
    <definedName name="Vents">'Data Page'!$D$100:$D$103</definedName>
    <definedName name="Wind">'Data Page'!$C$79:$C$83</definedName>
    <definedName name="WindowGlass">'Data Page'!$E$301:$E$320</definedName>
    <definedName name="WindowMark">'Data Page'!$D$300:$D$319</definedName>
    <definedName name="Windows">'Data Page'!$A$63:$A$70</definedName>
    <definedName name="WindowsDesc">'Data Page'!$A$301:$A$320</definedName>
    <definedName name="Zees">'Data Page'!$E$2:$E$22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50" l="1"/>
  <c r="M19" i="50"/>
  <c r="M18" i="50"/>
  <c r="M17" i="50"/>
  <c r="M16" i="50"/>
  <c r="M15" i="50"/>
  <c r="M14" i="50"/>
  <c r="M13" i="50"/>
  <c r="M12" i="50"/>
  <c r="M11" i="50"/>
  <c r="M37" i="168"/>
  <c r="A11" i="182"/>
  <c r="M11" i="178"/>
  <c r="M14" i="178"/>
  <c r="K1" i="158"/>
  <c r="N1" i="158"/>
  <c r="I2" i="158"/>
  <c r="M2" i="158"/>
  <c r="I4" i="158"/>
  <c r="I5" i="158"/>
  <c r="I6" i="158"/>
  <c r="C7" i="158"/>
  <c r="A11" i="158"/>
  <c r="M39" i="158"/>
  <c r="K1" i="132"/>
  <c r="N1" i="132"/>
  <c r="I2" i="132"/>
  <c r="M2" i="132"/>
  <c r="I4" i="132"/>
  <c r="I5" i="132"/>
  <c r="I6" i="132"/>
  <c r="C7" i="132"/>
  <c r="A11" i="132"/>
  <c r="K1" i="131"/>
  <c r="N1" i="131"/>
  <c r="I2" i="131"/>
  <c r="M2" i="131"/>
  <c r="I4" i="131"/>
  <c r="I5" i="131"/>
  <c r="I6" i="131"/>
  <c r="C7" i="131"/>
  <c r="A11" i="131"/>
  <c r="K1" i="130"/>
  <c r="N1" i="130"/>
  <c r="I2" i="130"/>
  <c r="M2" i="130"/>
  <c r="I4" i="130"/>
  <c r="I5" i="130"/>
  <c r="I6" i="130"/>
  <c r="C7" i="130"/>
  <c r="A12" i="130"/>
  <c r="K1" i="129"/>
  <c r="N1" i="129"/>
  <c r="I2" i="129"/>
  <c r="M2" i="129"/>
  <c r="I4" i="129"/>
  <c r="I5" i="129"/>
  <c r="I6" i="129"/>
  <c r="C7" i="129"/>
  <c r="A12" i="129"/>
  <c r="K1" i="128"/>
  <c r="N1" i="128"/>
  <c r="I2" i="128"/>
  <c r="M2" i="128"/>
  <c r="I4" i="128"/>
  <c r="I5" i="128"/>
  <c r="I6" i="128"/>
  <c r="C7" i="128"/>
  <c r="A11" i="128"/>
  <c r="K1" i="127"/>
  <c r="N1" i="127"/>
  <c r="I2" i="127"/>
  <c r="M2" i="127"/>
  <c r="I4" i="127"/>
  <c r="I5" i="127"/>
  <c r="I6" i="127"/>
  <c r="C7" i="127"/>
  <c r="A11" i="127"/>
  <c r="K1" i="126"/>
  <c r="N1" i="126"/>
  <c r="I2" i="126"/>
  <c r="M2" i="126"/>
  <c r="I4" i="126"/>
  <c r="I5" i="126"/>
  <c r="I6" i="126"/>
  <c r="C7" i="126"/>
  <c r="A11" i="126"/>
  <c r="M39" i="126"/>
  <c r="K1" i="125"/>
  <c r="N1" i="125"/>
  <c r="I2" i="125"/>
  <c r="M2" i="125"/>
  <c r="I4" i="125"/>
  <c r="I5" i="125"/>
  <c r="I6" i="125"/>
  <c r="C7" i="125"/>
  <c r="A11" i="125"/>
  <c r="M39" i="125"/>
  <c r="K1" i="124"/>
  <c r="N1" i="124"/>
  <c r="I2" i="124"/>
  <c r="M2" i="124"/>
  <c r="I4" i="124"/>
  <c r="I5" i="124"/>
  <c r="I6" i="124"/>
  <c r="C7" i="124"/>
  <c r="A11" i="124"/>
  <c r="M39" i="124"/>
  <c r="K1" i="123"/>
  <c r="N1" i="123"/>
  <c r="I2" i="123"/>
  <c r="M2" i="123"/>
  <c r="I4" i="123"/>
  <c r="I5" i="123"/>
  <c r="I6" i="123"/>
  <c r="C7" i="123"/>
  <c r="A11" i="123"/>
  <c r="M39" i="123"/>
  <c r="K1" i="122"/>
  <c r="N1" i="122"/>
  <c r="I2" i="122"/>
  <c r="M2" i="122"/>
  <c r="I4" i="122"/>
  <c r="I5" i="122"/>
  <c r="I6" i="122"/>
  <c r="C7" i="122"/>
  <c r="A11" i="122"/>
  <c r="M39" i="122"/>
  <c r="K1" i="121"/>
  <c r="N1" i="121"/>
  <c r="I2" i="121"/>
  <c r="M2" i="121"/>
  <c r="I4" i="121"/>
  <c r="I5" i="121"/>
  <c r="I6" i="121"/>
  <c r="C7" i="121"/>
  <c r="A11" i="121"/>
  <c r="M39" i="121"/>
  <c r="K1" i="120"/>
  <c r="N1" i="120"/>
  <c r="I2" i="120"/>
  <c r="M2" i="120"/>
  <c r="I4" i="120"/>
  <c r="I5" i="120"/>
  <c r="I6" i="120"/>
  <c r="C7" i="120"/>
  <c r="A11" i="120"/>
  <c r="M39" i="120"/>
  <c r="K1" i="119"/>
  <c r="N1" i="119"/>
  <c r="I2" i="119"/>
  <c r="M2" i="119"/>
  <c r="I4" i="119"/>
  <c r="I5" i="119"/>
  <c r="I6" i="119"/>
  <c r="C7" i="119"/>
  <c r="A11" i="119"/>
  <c r="M39" i="119"/>
  <c r="K1" i="118"/>
  <c r="N1" i="118"/>
  <c r="I2" i="118"/>
  <c r="M2" i="118"/>
  <c r="I4" i="118"/>
  <c r="I5" i="118"/>
  <c r="I6" i="118"/>
  <c r="C7" i="118"/>
  <c r="A11" i="118"/>
  <c r="M39" i="118"/>
  <c r="K1" i="117"/>
  <c r="N1" i="117"/>
  <c r="I2" i="117"/>
  <c r="M2" i="117"/>
  <c r="I4" i="117"/>
  <c r="I5" i="117"/>
  <c r="I6" i="117"/>
  <c r="C7" i="117"/>
  <c r="A11" i="117"/>
  <c r="M39" i="117"/>
  <c r="K1" i="116"/>
  <c r="N1" i="116"/>
  <c r="I2" i="116"/>
  <c r="M2" i="116"/>
  <c r="I4" i="116"/>
  <c r="I5" i="116"/>
  <c r="I6" i="116"/>
  <c r="C7" i="116"/>
  <c r="A11" i="116"/>
  <c r="M39" i="116"/>
  <c r="K1" i="115"/>
  <c r="N1" i="115"/>
  <c r="I2" i="115"/>
  <c r="M2" i="115"/>
  <c r="I4" i="115"/>
  <c r="I5" i="115"/>
  <c r="I6" i="115"/>
  <c r="C7" i="115"/>
  <c r="A11" i="115"/>
  <c r="M39" i="115"/>
  <c r="K1" i="114"/>
  <c r="N1" i="114"/>
  <c r="I2" i="114"/>
  <c r="M2" i="114"/>
  <c r="I4" i="114"/>
  <c r="I5" i="114"/>
  <c r="I6" i="114"/>
  <c r="C7" i="114"/>
  <c r="A11" i="114"/>
  <c r="M39" i="114"/>
  <c r="K1" i="113"/>
  <c r="N1" i="113"/>
  <c r="I2" i="113"/>
  <c r="M2" i="113"/>
  <c r="I4" i="113"/>
  <c r="I5" i="113"/>
  <c r="I6" i="113"/>
  <c r="C7" i="113"/>
  <c r="A11" i="113"/>
  <c r="M39" i="113"/>
  <c r="K1" i="112"/>
  <c r="N1" i="112"/>
  <c r="I2" i="112"/>
  <c r="M2" i="112"/>
  <c r="I4" i="112"/>
  <c r="I5" i="112"/>
  <c r="I6" i="112"/>
  <c r="C7" i="112"/>
  <c r="A11" i="112"/>
  <c r="M39" i="112"/>
  <c r="K1" i="111"/>
  <c r="N1" i="111"/>
  <c r="I2" i="111"/>
  <c r="M2" i="111"/>
  <c r="I4" i="111"/>
  <c r="I5" i="111"/>
  <c r="I6" i="111"/>
  <c r="C7" i="111"/>
  <c r="A11" i="111"/>
  <c r="M39" i="111"/>
  <c r="K1" i="110"/>
  <c r="N1" i="110"/>
  <c r="I2" i="110"/>
  <c r="M2" i="110"/>
  <c r="I4" i="110"/>
  <c r="I5" i="110"/>
  <c r="I6" i="110"/>
  <c r="C7" i="110"/>
  <c r="A11" i="110"/>
  <c r="M39" i="110"/>
  <c r="K1" i="109"/>
  <c r="N1" i="109"/>
  <c r="I2" i="109"/>
  <c r="M2" i="109"/>
  <c r="I4" i="109"/>
  <c r="I5" i="109"/>
  <c r="I6" i="109"/>
  <c r="C7" i="109"/>
  <c r="A11" i="109"/>
  <c r="M39" i="109"/>
  <c r="K1" i="108"/>
  <c r="N1" i="108"/>
  <c r="I2" i="108"/>
  <c r="M2" i="108"/>
  <c r="I4" i="108"/>
  <c r="I5" i="108"/>
  <c r="I6" i="108"/>
  <c r="C7" i="108"/>
  <c r="A11" i="108"/>
  <c r="M39" i="108"/>
  <c r="K1" i="107"/>
  <c r="N1" i="107"/>
  <c r="I2" i="107"/>
  <c r="M2" i="107"/>
  <c r="I4" i="107"/>
  <c r="I5" i="107"/>
  <c r="I6" i="107"/>
  <c r="C7" i="107"/>
  <c r="A11" i="107"/>
  <c r="M39" i="107"/>
  <c r="K1" i="106"/>
  <c r="N1" i="106"/>
  <c r="I2" i="106"/>
  <c r="M2" i="106"/>
  <c r="I4" i="106"/>
  <c r="I5" i="106"/>
  <c r="I6" i="106"/>
  <c r="C7" i="106"/>
  <c r="A11" i="106"/>
  <c r="M39" i="106"/>
  <c r="K1" i="105"/>
  <c r="N1" i="105"/>
  <c r="I2" i="105"/>
  <c r="M2" i="105"/>
  <c r="I4" i="105"/>
  <c r="I5" i="105"/>
  <c r="I6" i="105"/>
  <c r="C7" i="105"/>
  <c r="A11" i="105"/>
  <c r="M39" i="105"/>
  <c r="K1" i="104"/>
  <c r="N1" i="104"/>
  <c r="I2" i="104"/>
  <c r="M2" i="104"/>
  <c r="I4" i="104"/>
  <c r="I5" i="104"/>
  <c r="I6" i="104"/>
  <c r="C7" i="104"/>
  <c r="A11" i="104"/>
  <c r="M39" i="104"/>
  <c r="K1" i="103"/>
  <c r="N1" i="103"/>
  <c r="I2" i="103"/>
  <c r="M2" i="103"/>
  <c r="I4" i="103"/>
  <c r="I5" i="103"/>
  <c r="I6" i="103"/>
  <c r="C7" i="103"/>
  <c r="A11" i="103"/>
  <c r="M39" i="103"/>
  <c r="K1" i="102"/>
  <c r="N1" i="102"/>
  <c r="I2" i="102"/>
  <c r="M2" i="102"/>
  <c r="I4" i="102"/>
  <c r="I5" i="102"/>
  <c r="I6" i="102"/>
  <c r="C7" i="102"/>
  <c r="A11" i="102"/>
  <c r="M39" i="102"/>
  <c r="K1" i="101"/>
  <c r="N1" i="101"/>
  <c r="I2" i="101"/>
  <c r="M2" i="101"/>
  <c r="I4" i="101"/>
  <c r="I5" i="101"/>
  <c r="I6" i="101"/>
  <c r="C7" i="101"/>
  <c r="A11" i="101"/>
  <c r="M39" i="101"/>
  <c r="R2" i="99"/>
  <c r="R3" i="99"/>
  <c r="R4" i="99"/>
  <c r="R5" i="99"/>
  <c r="R6" i="99"/>
  <c r="R7" i="99"/>
  <c r="R8" i="99"/>
  <c r="R9" i="99"/>
  <c r="R10" i="99"/>
  <c r="R11" i="99"/>
  <c r="R12" i="99"/>
  <c r="R13" i="99"/>
  <c r="R14" i="99"/>
  <c r="R15" i="99"/>
  <c r="R16" i="99"/>
  <c r="R17" i="99"/>
  <c r="R18" i="99"/>
  <c r="R19" i="99"/>
  <c r="R20" i="99"/>
  <c r="R21" i="99"/>
  <c r="R22" i="99"/>
  <c r="R23" i="99"/>
  <c r="R24" i="99"/>
  <c r="R25" i="99"/>
  <c r="R26" i="99"/>
  <c r="R27" i="99"/>
  <c r="R28" i="99"/>
  <c r="R29" i="99"/>
  <c r="R30" i="99"/>
  <c r="R31" i="99"/>
  <c r="R32" i="99"/>
  <c r="R33" i="99"/>
  <c r="R34" i="99"/>
  <c r="R35" i="99"/>
  <c r="R36" i="99"/>
  <c r="R37" i="99"/>
  <c r="R38" i="99"/>
  <c r="R39" i="99"/>
  <c r="R40" i="99"/>
  <c r="R41" i="99"/>
  <c r="R42" i="99"/>
  <c r="R43" i="99"/>
  <c r="R44" i="99"/>
  <c r="R45" i="99"/>
  <c r="R46" i="99"/>
  <c r="R47" i="99"/>
  <c r="R48" i="99"/>
  <c r="R49" i="99"/>
  <c r="R50" i="99"/>
  <c r="R51" i="99"/>
  <c r="R52" i="99"/>
  <c r="R53" i="99"/>
  <c r="R54" i="99"/>
  <c r="R55" i="99"/>
  <c r="R56" i="99"/>
  <c r="R57" i="99"/>
  <c r="R58" i="99"/>
  <c r="R59" i="99"/>
  <c r="R60" i="99"/>
  <c r="R61" i="99"/>
  <c r="R62" i="99"/>
  <c r="R63" i="99"/>
  <c r="R64" i="99"/>
  <c r="R65" i="99"/>
  <c r="R66" i="99"/>
  <c r="R67" i="99"/>
  <c r="R68" i="99"/>
  <c r="R69" i="99"/>
  <c r="R70" i="99"/>
  <c r="R71" i="99"/>
  <c r="R72" i="99"/>
  <c r="R73" i="99"/>
  <c r="R74" i="99"/>
  <c r="R75" i="99"/>
  <c r="R76" i="99"/>
  <c r="R77" i="99"/>
  <c r="R78" i="99"/>
  <c r="R79" i="99"/>
  <c r="R80" i="99"/>
  <c r="R81" i="99"/>
  <c r="R82" i="99"/>
  <c r="R83" i="99"/>
  <c r="R84" i="99"/>
  <c r="R85" i="99"/>
  <c r="R86" i="99"/>
  <c r="R87" i="99"/>
  <c r="R88" i="99"/>
  <c r="R89" i="99"/>
  <c r="R90" i="99"/>
  <c r="R91" i="99"/>
  <c r="R92" i="99"/>
  <c r="R93" i="99"/>
  <c r="R94" i="99"/>
  <c r="R95" i="99"/>
  <c r="R96" i="99"/>
  <c r="R97" i="99"/>
  <c r="R98" i="99"/>
  <c r="R99" i="99"/>
  <c r="R100" i="99"/>
  <c r="R101" i="99"/>
  <c r="R102" i="99"/>
  <c r="R103" i="99"/>
  <c r="R104" i="99"/>
  <c r="R105" i="99"/>
  <c r="R106" i="99"/>
  <c r="R107" i="99"/>
  <c r="R108" i="99"/>
  <c r="R109" i="99"/>
  <c r="R110" i="99"/>
  <c r="R111" i="99"/>
  <c r="R112" i="99"/>
  <c r="R113" i="99"/>
  <c r="R114" i="99"/>
  <c r="R115" i="99"/>
  <c r="R116" i="99"/>
  <c r="R117" i="99"/>
  <c r="R118" i="99"/>
  <c r="R119" i="99"/>
  <c r="R120" i="99"/>
  <c r="R121" i="99"/>
  <c r="R122" i="99"/>
  <c r="R123" i="99"/>
  <c r="R124" i="99"/>
  <c r="R125" i="99"/>
  <c r="R126" i="99"/>
  <c r="R127" i="99"/>
  <c r="R128" i="99"/>
  <c r="R129" i="99"/>
  <c r="R130" i="99"/>
  <c r="R131" i="99"/>
  <c r="R132" i="99"/>
  <c r="R133" i="99"/>
  <c r="R134" i="99"/>
  <c r="R135" i="99"/>
  <c r="R136" i="99"/>
  <c r="R137" i="99"/>
  <c r="R138" i="99"/>
  <c r="R139" i="99"/>
  <c r="R140" i="99"/>
  <c r="R141" i="99"/>
  <c r="R142" i="99"/>
  <c r="R143" i="99"/>
  <c r="R144" i="99"/>
  <c r="R145" i="99"/>
  <c r="R146" i="99"/>
  <c r="R147" i="99"/>
  <c r="R148" i="99"/>
  <c r="R149" i="99"/>
  <c r="R150" i="99"/>
  <c r="R151" i="99"/>
  <c r="R152" i="99"/>
  <c r="R153" i="99"/>
  <c r="R154" i="99"/>
  <c r="R155" i="99"/>
  <c r="R156" i="99"/>
  <c r="R157" i="99"/>
  <c r="R158" i="99"/>
  <c r="R159" i="99"/>
  <c r="R160" i="99"/>
  <c r="R161" i="99"/>
  <c r="R162" i="99"/>
  <c r="R163" i="99"/>
  <c r="R164" i="99"/>
  <c r="R165" i="99"/>
  <c r="R166" i="99"/>
  <c r="R167" i="99"/>
  <c r="R168" i="99"/>
  <c r="R169" i="99"/>
  <c r="R170" i="99"/>
  <c r="R171" i="99"/>
  <c r="R172" i="99"/>
  <c r="R173" i="99"/>
  <c r="R174" i="99"/>
  <c r="R175" i="99"/>
  <c r="R176" i="99"/>
  <c r="R177" i="99"/>
  <c r="R178" i="99"/>
  <c r="R179" i="99"/>
  <c r="R180" i="99"/>
  <c r="R181" i="99"/>
  <c r="R182" i="99"/>
  <c r="R183" i="99"/>
  <c r="R184" i="99"/>
  <c r="R185" i="99"/>
  <c r="R186" i="99"/>
  <c r="R187" i="99"/>
  <c r="R188" i="99"/>
  <c r="R189" i="99"/>
  <c r="R190" i="99"/>
  <c r="R191" i="99"/>
  <c r="R192" i="99"/>
  <c r="R193" i="99"/>
  <c r="R194" i="99"/>
  <c r="R195" i="99"/>
  <c r="R196" i="99"/>
  <c r="R197" i="99"/>
  <c r="R198" i="99"/>
  <c r="R199" i="99"/>
  <c r="R200" i="99"/>
  <c r="R201" i="99"/>
  <c r="R202" i="99"/>
  <c r="R203" i="99"/>
  <c r="R204" i="99"/>
  <c r="R205" i="99"/>
  <c r="R206" i="99"/>
  <c r="R207" i="99"/>
  <c r="R208" i="99"/>
  <c r="R209" i="99"/>
  <c r="R210" i="99"/>
  <c r="R211" i="99"/>
  <c r="R212" i="99"/>
  <c r="R213" i="99"/>
  <c r="R214" i="99"/>
  <c r="R215" i="99"/>
  <c r="R216" i="99"/>
  <c r="R217" i="99"/>
  <c r="R218" i="99"/>
  <c r="R219" i="99"/>
  <c r="R220" i="99"/>
  <c r="R221" i="99"/>
  <c r="R222" i="99"/>
  <c r="R223" i="99"/>
  <c r="R224" i="99"/>
  <c r="R225" i="99"/>
  <c r="R226" i="99"/>
  <c r="R227" i="99"/>
  <c r="R228" i="99"/>
  <c r="R229" i="99"/>
  <c r="R230" i="99"/>
  <c r="R231" i="99"/>
  <c r="R232" i="99"/>
  <c r="R233" i="99"/>
  <c r="R234" i="99"/>
  <c r="R235" i="99"/>
  <c r="R236" i="99"/>
  <c r="R237" i="99"/>
  <c r="R238" i="99"/>
  <c r="R239" i="99"/>
  <c r="R240" i="99"/>
  <c r="R241" i="99"/>
  <c r="R242" i="99"/>
  <c r="R243" i="99"/>
  <c r="R244" i="99"/>
  <c r="R245" i="99"/>
  <c r="R246" i="99"/>
  <c r="R247" i="99"/>
  <c r="R248" i="99"/>
  <c r="R249" i="99"/>
  <c r="R250" i="99"/>
  <c r="R251" i="99"/>
  <c r="R252" i="99"/>
  <c r="R253" i="99"/>
  <c r="R254" i="99"/>
  <c r="R255" i="99"/>
  <c r="R256" i="99"/>
  <c r="R257" i="99"/>
  <c r="R258" i="99"/>
  <c r="R259" i="99"/>
  <c r="R260" i="99"/>
  <c r="R261" i="99"/>
  <c r="R262" i="99"/>
  <c r="R263" i="99"/>
  <c r="R264" i="99"/>
  <c r="R265" i="99"/>
  <c r="R266" i="99"/>
  <c r="R267" i="99"/>
  <c r="R268" i="99"/>
  <c r="R269" i="99"/>
  <c r="R270" i="99"/>
  <c r="R271" i="99"/>
  <c r="R272" i="99"/>
  <c r="R273" i="99"/>
  <c r="R274" i="99"/>
  <c r="R275" i="99"/>
  <c r="R276" i="99"/>
  <c r="R277" i="99"/>
  <c r="R278" i="99"/>
  <c r="R279" i="99"/>
  <c r="R280" i="99"/>
  <c r="R281" i="99"/>
  <c r="R282" i="99"/>
  <c r="R283" i="99"/>
  <c r="R284" i="99"/>
  <c r="R285" i="99"/>
  <c r="R286" i="99"/>
  <c r="R287" i="99"/>
  <c r="R288" i="99"/>
  <c r="R289" i="99"/>
  <c r="R290" i="99"/>
  <c r="R291" i="99"/>
  <c r="R292" i="99"/>
  <c r="R293" i="99"/>
  <c r="R294" i="99"/>
  <c r="R295" i="99"/>
  <c r="R296" i="99"/>
  <c r="R297" i="99"/>
  <c r="R298" i="99"/>
  <c r="R299" i="99"/>
  <c r="R300" i="99"/>
  <c r="R301" i="99"/>
  <c r="R302" i="99"/>
  <c r="R303" i="99"/>
  <c r="R304" i="99"/>
  <c r="R305" i="99"/>
  <c r="R306" i="99"/>
  <c r="R307" i="99"/>
  <c r="R308" i="99"/>
  <c r="R309" i="99"/>
  <c r="R310" i="99"/>
  <c r="R311" i="99"/>
  <c r="R312" i="99"/>
  <c r="R313" i="99"/>
  <c r="R314" i="99"/>
  <c r="R315" i="99"/>
  <c r="R316" i="99"/>
  <c r="R317" i="99"/>
  <c r="R318" i="99"/>
  <c r="R319" i="99"/>
  <c r="R320" i="99"/>
  <c r="R321" i="99"/>
  <c r="R322" i="99"/>
  <c r="R323" i="99"/>
  <c r="R324" i="99"/>
  <c r="R325" i="99"/>
  <c r="R326" i="99"/>
  <c r="R327" i="99"/>
  <c r="R328" i="99"/>
  <c r="R329" i="99"/>
  <c r="R330" i="99"/>
  <c r="R331" i="99"/>
  <c r="R332" i="99"/>
  <c r="R333" i="99"/>
  <c r="R334" i="99"/>
  <c r="R335" i="99"/>
  <c r="R336" i="99"/>
  <c r="R337" i="99"/>
  <c r="R338" i="99"/>
  <c r="R339" i="99"/>
  <c r="R340" i="99"/>
  <c r="R341" i="99"/>
  <c r="R342" i="99"/>
  <c r="R343" i="99"/>
  <c r="R344" i="99"/>
  <c r="R345" i="99"/>
  <c r="R346" i="99"/>
  <c r="R347" i="99"/>
  <c r="R348" i="99"/>
  <c r="R349" i="99"/>
  <c r="R350" i="99"/>
  <c r="R351" i="99"/>
  <c r="R352" i="99"/>
  <c r="R353" i="99"/>
  <c r="R354" i="99"/>
  <c r="R355" i="99"/>
  <c r="R356" i="99"/>
  <c r="R357" i="99"/>
  <c r="R358" i="99"/>
  <c r="R359" i="99"/>
  <c r="R360" i="99"/>
  <c r="R361" i="99"/>
  <c r="R362" i="99"/>
  <c r="R363" i="99"/>
  <c r="R364" i="99"/>
  <c r="R365" i="99"/>
  <c r="R366" i="99"/>
  <c r="R367" i="99"/>
  <c r="R368" i="99"/>
  <c r="R369" i="99"/>
  <c r="R370" i="99"/>
  <c r="R371" i="99"/>
  <c r="R372" i="99"/>
  <c r="R373" i="99"/>
  <c r="R374" i="99"/>
  <c r="R375" i="99"/>
  <c r="R376" i="99"/>
  <c r="R377" i="99"/>
  <c r="R378" i="99"/>
  <c r="R379" i="99"/>
  <c r="R380" i="99"/>
  <c r="R381" i="99"/>
  <c r="R382" i="99"/>
  <c r="R383" i="99"/>
  <c r="R384" i="99"/>
  <c r="R385" i="99"/>
  <c r="R386" i="99"/>
  <c r="R387" i="99"/>
  <c r="R388" i="99"/>
  <c r="R389" i="99"/>
  <c r="R390" i="99"/>
  <c r="R391" i="99"/>
  <c r="R395" i="99"/>
  <c r="R396" i="99"/>
  <c r="R397" i="99"/>
  <c r="R398" i="99"/>
  <c r="R399" i="99"/>
  <c r="R400" i="99"/>
  <c r="R401" i="99"/>
  <c r="R402" i="99"/>
  <c r="R403" i="99"/>
  <c r="K1" i="135"/>
  <c r="N1" i="135"/>
  <c r="I2" i="135"/>
  <c r="M2" i="135"/>
  <c r="I4" i="135"/>
  <c r="I5" i="135"/>
  <c r="I6" i="135"/>
  <c r="C7" i="135"/>
  <c r="A11" i="135"/>
  <c r="M39" i="135"/>
  <c r="K1" i="154"/>
  <c r="N1" i="154"/>
  <c r="I2" i="154"/>
  <c r="M2" i="154"/>
  <c r="I4" i="154"/>
  <c r="I5" i="154"/>
  <c r="I6" i="154"/>
  <c r="C7" i="154"/>
  <c r="M39" i="154"/>
  <c r="N1" i="182"/>
  <c r="I2" i="182"/>
  <c r="M2" i="182"/>
  <c r="I4" i="182"/>
  <c r="I5" i="182"/>
  <c r="I6" i="182"/>
  <c r="C7" i="182"/>
  <c r="M38" i="182"/>
  <c r="N1" i="178"/>
  <c r="I2" i="178"/>
  <c r="M2" i="178"/>
  <c r="I4" i="178"/>
  <c r="I5" i="178"/>
  <c r="I6" i="178"/>
  <c r="C7" i="178"/>
  <c r="N1" i="89"/>
  <c r="I2" i="89"/>
  <c r="M2" i="89"/>
  <c r="I4" i="89"/>
  <c r="I5" i="89"/>
  <c r="I6" i="89"/>
  <c r="C7" i="89"/>
  <c r="M19" i="89"/>
  <c r="N1" i="51"/>
  <c r="I2" i="51"/>
  <c r="M2" i="51"/>
  <c r="I4" i="51"/>
  <c r="I5" i="51"/>
  <c r="I6" i="51"/>
  <c r="C7" i="51"/>
  <c r="M17" i="51"/>
  <c r="N1" i="50"/>
  <c r="I2" i="50"/>
  <c r="M2" i="50"/>
  <c r="I4" i="50"/>
  <c r="I5" i="50"/>
  <c r="I6" i="50"/>
  <c r="C7" i="50"/>
  <c r="M21" i="50"/>
  <c r="M27" i="50" s="1"/>
  <c r="N1" i="169"/>
  <c r="I2" i="169"/>
  <c r="M2" i="169"/>
  <c r="I4" i="169"/>
  <c r="I5" i="169"/>
  <c r="I6" i="169"/>
  <c r="C7" i="169"/>
  <c r="M17" i="169"/>
  <c r="N1" i="168"/>
  <c r="I2" i="168"/>
  <c r="M2" i="168"/>
  <c r="I4" i="168"/>
  <c r="I5" i="168"/>
  <c r="I6" i="168"/>
  <c r="C7" i="168"/>
  <c r="N1" i="86"/>
  <c r="I2" i="86"/>
  <c r="M2" i="86"/>
  <c r="I4" i="86"/>
  <c r="I5" i="86"/>
  <c r="I6" i="86"/>
  <c r="C7" i="86"/>
  <c r="M38" i="86"/>
  <c r="N1" i="85"/>
  <c r="I2" i="85"/>
  <c r="M2" i="85"/>
  <c r="I4" i="85"/>
  <c r="I5" i="85"/>
  <c r="I6" i="85"/>
  <c r="C7" i="85"/>
  <c r="M21" i="85"/>
  <c r="N1" i="46"/>
  <c r="I2" i="46"/>
  <c r="M2" i="46"/>
  <c r="I4" i="46"/>
  <c r="I5" i="46"/>
  <c r="I6" i="46"/>
  <c r="C7" i="46"/>
  <c r="M20" i="4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6C7C7D-A38B-4C4B-AF64-0F2A7A3DA790}" name="rep-fld" type="6" refreshedVersion="0" background="1">
    <textPr prompt="0" sourceFile="c:\mbs\rep\rep-fld.out">
      <textFields>
        <textField/>
      </textFields>
    </textPr>
  </connection>
</connections>
</file>

<file path=xl/sharedStrings.xml><?xml version="1.0" encoding="utf-8"?>
<sst xmlns="http://schemas.openxmlformats.org/spreadsheetml/2006/main" count="3457" uniqueCount="1880">
  <si>
    <t>Standard Gutter End Cap Lt (VS-216)</t>
  </si>
  <si>
    <t>FL-231</t>
  </si>
  <si>
    <t>"Z" Closure (FW)</t>
  </si>
  <si>
    <t>FL-232</t>
  </si>
  <si>
    <t>Panel Cap</t>
  </si>
  <si>
    <t>FL-233</t>
  </si>
  <si>
    <t>FL-234</t>
  </si>
  <si>
    <t>FL-235</t>
  </si>
  <si>
    <t>FL-236</t>
  </si>
  <si>
    <t>FL-237</t>
  </si>
  <si>
    <t>FL-238</t>
  </si>
  <si>
    <t>Fascia Sill Trim</t>
  </si>
  <si>
    <t>Soffit Panel Splice Trim</t>
  </si>
  <si>
    <t>2x3 Inside Angle</t>
  </si>
  <si>
    <t>Wainscot Transition Trim (PBU Panel)</t>
  </si>
  <si>
    <t>FL-300</t>
  </si>
  <si>
    <t>F.O. Cover Trim (10")</t>
  </si>
  <si>
    <t>F.O. Cover Trim (12")</t>
  </si>
  <si>
    <t>FL-301</t>
  </si>
  <si>
    <t>Downspout 8x8 (Straight)</t>
  </si>
  <si>
    <t>Downspout with Kickout 8x8 (45º Elbow)</t>
  </si>
  <si>
    <t>Downspout Strap (4")</t>
  </si>
  <si>
    <t>Downspout Strap (8")</t>
  </si>
  <si>
    <t>FL-171</t>
  </si>
  <si>
    <t>Northern 7 1/4" Shadow Gutter</t>
  </si>
  <si>
    <t>FL-171 R</t>
  </si>
  <si>
    <t>FL-171 L</t>
  </si>
  <si>
    <t>Northern 7 1/4" Shadow Gutter Mitered Rt</t>
  </si>
  <si>
    <t>Northern 7 1/4" Shadow Gutter Mitered Lt</t>
  </si>
  <si>
    <t>FL-172</t>
  </si>
  <si>
    <t>Low Side Shadow Eave Trim (PBR Panel)</t>
  </si>
  <si>
    <t>FL-173</t>
  </si>
  <si>
    <t>FL-173 R</t>
  </si>
  <si>
    <t>FL-173 L</t>
  </si>
  <si>
    <t>Northern 8" Shadow Gutter</t>
  </si>
  <si>
    <t>Northern 8" Shadow Gutter Mitered Rt</t>
  </si>
  <si>
    <t>Northern 8" Shadow Gutter Mitered Lt</t>
  </si>
  <si>
    <t>FL-174</t>
  </si>
  <si>
    <t>FL-174 R</t>
  </si>
  <si>
    <t>FL-174 L</t>
  </si>
  <si>
    <t>Northern 10" Shadow Gutter</t>
  </si>
  <si>
    <t>Northern 10" Shadow Gutter Mitered Rt</t>
  </si>
  <si>
    <t>Northern 10" Shadow Gutter Mitered Lt</t>
  </si>
  <si>
    <t>FL-176</t>
  </si>
  <si>
    <t>FL-176 R</t>
  </si>
  <si>
    <t>FL-176 L</t>
  </si>
  <si>
    <t>Northern 7 1/4" Shadow Rake Trim (PBR Panel)</t>
  </si>
  <si>
    <t>FL-177</t>
  </si>
  <si>
    <t>FL-178 R</t>
  </si>
  <si>
    <t>FL-178 L</t>
  </si>
  <si>
    <t>LEAF</t>
  </si>
  <si>
    <t>Gutter Support Clip</t>
  </si>
  <si>
    <t>6CX16Ga</t>
  </si>
  <si>
    <t>CL-110</t>
  </si>
  <si>
    <t>CL-111</t>
  </si>
  <si>
    <t>Cold Form Rafter to 8" Girt Clip</t>
  </si>
  <si>
    <t>Cold Form Rafter to 10" Girt Clip</t>
  </si>
  <si>
    <t>FL-187 R</t>
  </si>
  <si>
    <t>FL-45A</t>
  </si>
  <si>
    <t>FL-45B</t>
  </si>
  <si>
    <t>FL-187 L</t>
  </si>
  <si>
    <t>Shadow Gutter End Cap Rt (VS Panel)</t>
  </si>
  <si>
    <t>Shadow Gutter End Cap Lt (VS Panel)</t>
  </si>
  <si>
    <t>Roll Form Downspout (85º Offset)</t>
  </si>
  <si>
    <t>FL-285</t>
  </si>
  <si>
    <t>FL-286</t>
  </si>
  <si>
    <t>Partition Trim (10" Purlins)</t>
  </si>
  <si>
    <t>FL-290</t>
  </si>
  <si>
    <t>High Side Masonry Eave Trim</t>
  </si>
  <si>
    <t>FL-291</t>
  </si>
  <si>
    <t>FL-306</t>
  </si>
  <si>
    <t>FL-305</t>
  </si>
  <si>
    <t>Downspout 6x6 (Straight)</t>
  </si>
  <si>
    <t>FL-307</t>
  </si>
  <si>
    <t>FL-308</t>
  </si>
  <si>
    <t>Downspout with Kickout 6x6 (45º Elbow)</t>
  </si>
  <si>
    <t>Downspout Strap (6")</t>
  </si>
  <si>
    <t>FL-315</t>
  </si>
  <si>
    <t>FL-315 R</t>
  </si>
  <si>
    <t>FL-315 L</t>
  </si>
  <si>
    <t>FL-316 R</t>
  </si>
  <si>
    <t>FL-316 L</t>
  </si>
  <si>
    <t>FL-242</t>
  </si>
  <si>
    <t>FL-243</t>
  </si>
  <si>
    <t>Liner Conversion Trim (Flush) (PBR Panel)</t>
  </si>
  <si>
    <t>Liner Conversion Trim (Flush) (PBU Panel)</t>
  </si>
  <si>
    <t>FL-244</t>
  </si>
  <si>
    <t>FL-245</t>
  </si>
  <si>
    <t>FL-246</t>
  </si>
  <si>
    <t>Channel Rafter Closure Trim (PBU)</t>
  </si>
  <si>
    <t>Channel Rafter Closure Trim (PBR)</t>
  </si>
  <si>
    <t>Partition Trim (10" Girts)</t>
  </si>
  <si>
    <t>Northern 10" Shadow Rake Trim (PBR Panel)</t>
  </si>
  <si>
    <t>FL-327 R</t>
  </si>
  <si>
    <t>Rake Trim End Cap Rt (PBR Panel)</t>
  </si>
  <si>
    <t>FL-327 L</t>
  </si>
  <si>
    <t>Rake Trim End Cap Lt (PBR Panel)</t>
  </si>
  <si>
    <t>FL-179 R</t>
  </si>
  <si>
    <t>FL-179 L</t>
  </si>
  <si>
    <t>FL-181</t>
  </si>
  <si>
    <t>FL-182</t>
  </si>
  <si>
    <t>FL-183 R</t>
  </si>
  <si>
    <t>FL-183 L</t>
  </si>
  <si>
    <t>Shadow Gutter End Cap Rt (PBR Panel)</t>
  </si>
  <si>
    <t>Shadow Gutter End Cap Lt (PBR Panel)</t>
  </si>
  <si>
    <t>FL-185</t>
  </si>
  <si>
    <t>FL-185 R</t>
  </si>
  <si>
    <t>FL-185 L</t>
  </si>
  <si>
    <t>High Side Shadow Eave Trim (PBR Panel)</t>
  </si>
  <si>
    <t>110 MPH</t>
  </si>
  <si>
    <t>130 MPH</t>
  </si>
  <si>
    <t>150 MPH</t>
  </si>
  <si>
    <t>Half Glass</t>
  </si>
  <si>
    <t>Narrow Lite</t>
  </si>
  <si>
    <t>6070M Knock Down Door</t>
  </si>
  <si>
    <t>6070M Insulated KD Door</t>
  </si>
  <si>
    <t>6070M Pre-Assembled Door</t>
  </si>
  <si>
    <t>6070M Wind Rated PA Door</t>
  </si>
  <si>
    <t>6070M Ins. KD-2 Active</t>
  </si>
  <si>
    <t>6070M PA Door-2 Active</t>
  </si>
  <si>
    <t>High Side Shadow Eave Trim Mitered Lt (PBR Panel)</t>
  </si>
  <si>
    <t>FL-239</t>
  </si>
  <si>
    <t>Liner Conversion Trim (PBU Panel)</t>
  </si>
  <si>
    <t>FL-240</t>
  </si>
  <si>
    <t>Downspout Canopy Return</t>
  </si>
  <si>
    <t>FL-270</t>
  </si>
  <si>
    <t>Shadow Eave Gutter (TS-324 Panel)</t>
  </si>
  <si>
    <t>FL-270 R</t>
  </si>
  <si>
    <t>FL-270 L</t>
  </si>
  <si>
    <t>Shadow Eave Gutter Mitered Rt (TS-324 Panel)</t>
  </si>
  <si>
    <t>Shadow Eave Gutter Mitered Lt (TS-324 Panel)</t>
  </si>
  <si>
    <t>Shadow Eave Gutter (VS-216 Panel)</t>
  </si>
  <si>
    <t>Shadow Eave Gutter Mitered Rt (VS-216 Panel)</t>
  </si>
  <si>
    <t>Shadow Eave Gutter Mitered Lt (VS-216 Panel)</t>
  </si>
  <si>
    <t>FL-272</t>
  </si>
  <si>
    <t>FL-272 R</t>
  </si>
  <si>
    <t>FL-272 L</t>
  </si>
  <si>
    <t>FL-275</t>
  </si>
  <si>
    <t>Shadow Rake Trim (SSR Panel)</t>
  </si>
  <si>
    <t>FL-275 R</t>
  </si>
  <si>
    <t>Shadow Rake Trim Mitered Rt (SSR Panel)</t>
  </si>
  <si>
    <t>FL-275 L</t>
  </si>
  <si>
    <t>Shadow Rake Trim Mitered Lt (SSR Panel)</t>
  </si>
  <si>
    <t>FL-280A</t>
  </si>
  <si>
    <t>Shadow Peak Box (SSR Roof)(  Sign)</t>
  </si>
  <si>
    <t>FL-280B</t>
  </si>
  <si>
    <t>FL-280C</t>
  </si>
  <si>
    <t>FL-184</t>
  </si>
  <si>
    <t>FL-184 R</t>
  </si>
  <si>
    <t>FL-184 L</t>
  </si>
  <si>
    <t>Northern High Side Shadow Eave Trim (PBR Panel)</t>
  </si>
  <si>
    <t>FL-186</t>
  </si>
  <si>
    <t>FL-186 R</t>
  </si>
  <si>
    <t>FL-186 L</t>
  </si>
  <si>
    <t>Northern 7 1/4" Shadow Rake Mitered Rt (PBR Panel)</t>
  </si>
  <si>
    <t>Northern 7 1/4" Shadow Rake Mitered Lt (PBR Panel)</t>
  </si>
  <si>
    <t>High Side Shadow Eave Trim Mitered Rt(PBR Panel)</t>
  </si>
  <si>
    <t>Northern High Shadow Eave Mitered Rt (PBR Panel)</t>
  </si>
  <si>
    <t>Northern High Shadow Eave Mitered Lt (PBR Panel)</t>
  </si>
  <si>
    <t>BA1</t>
  </si>
  <si>
    <t>Sheeting Angle</t>
  </si>
  <si>
    <t>20'-0"</t>
  </si>
  <si>
    <t>DHA-30</t>
  </si>
  <si>
    <t>DHA-66</t>
  </si>
  <si>
    <t>GH-1</t>
  </si>
  <si>
    <t>GH-2</t>
  </si>
  <si>
    <t>JB-1</t>
  </si>
  <si>
    <t>LA-1</t>
  </si>
  <si>
    <t>SA1</t>
  </si>
  <si>
    <t>SS8-6</t>
  </si>
  <si>
    <t>SS8-8</t>
  </si>
  <si>
    <t>SS8-10</t>
  </si>
  <si>
    <t>SSH-10</t>
  </si>
  <si>
    <t>SSH-12</t>
  </si>
  <si>
    <t>SSL-10</t>
  </si>
  <si>
    <t>SSL-12</t>
  </si>
  <si>
    <t>Header Angle</t>
  </si>
  <si>
    <t>Jamb Brace Angle</t>
  </si>
  <si>
    <t>Liner Support Angle</t>
  </si>
  <si>
    <t>Support Angle</t>
  </si>
  <si>
    <t>Misc.Part2</t>
  </si>
  <si>
    <t>Interior Strut Spacer for 8" Purlins</t>
  </si>
  <si>
    <t>Interior Strut Spacer for 10" Purlins</t>
  </si>
  <si>
    <t>Interior Strut Spacer for 12" Purlins</t>
  </si>
  <si>
    <t>10" Strut Spacer (H.S.) (R.S.  :12)</t>
  </si>
  <si>
    <t>12" Strut Spacer (H.S.) (R.S.  :12)</t>
  </si>
  <si>
    <t>Misc.</t>
  </si>
  <si>
    <t>Misc.Des</t>
  </si>
  <si>
    <t>Misc.Part</t>
  </si>
  <si>
    <t>Misc.Color</t>
  </si>
  <si>
    <t>Misc.Length</t>
  </si>
  <si>
    <t>12" Strut Spacer (L.S.) (R.S.  :12)</t>
  </si>
  <si>
    <t>10" Strut Spacer (L.S.) (R.S.  :12)</t>
  </si>
  <si>
    <t>4X2X16Ga</t>
  </si>
  <si>
    <t>2X2X16Ga</t>
  </si>
  <si>
    <t>5X3X16Ga</t>
  </si>
  <si>
    <t>12X35C16</t>
  </si>
  <si>
    <t>10X35C16</t>
  </si>
  <si>
    <t>2'-6"</t>
  </si>
  <si>
    <t>FL-344A</t>
  </si>
  <si>
    <t>Northern Shadow 10" Peak Box (TS-324)</t>
  </si>
  <si>
    <t>FL-344B</t>
  </si>
  <si>
    <t>FL-345</t>
  </si>
  <si>
    <t>Northern Shadow 10" Rake Trim (VS-216)</t>
  </si>
  <si>
    <t>FL-348A</t>
  </si>
  <si>
    <t>Northern Shadow 10" Peak Box (VS-216)</t>
  </si>
  <si>
    <t>FL-348B</t>
  </si>
  <si>
    <t>FL-350</t>
  </si>
  <si>
    <t>Canopy Eave Trim w/o Soffit Panel</t>
  </si>
  <si>
    <t>FL-351</t>
  </si>
  <si>
    <t>Canopy Eave Trim w/ PBR Soffit Panel</t>
  </si>
  <si>
    <t>FL-352</t>
  </si>
  <si>
    <t>Canopy Eave Trim w/ PBU Soffit Panel</t>
  </si>
  <si>
    <t>FL-154A</t>
  </si>
  <si>
    <t>7 1/4" Northern Style Expansion Peak Box (VS-216)</t>
  </si>
  <si>
    <t>FL-154B</t>
  </si>
  <si>
    <t>FL-154C</t>
  </si>
  <si>
    <t>FL-168 R</t>
  </si>
  <si>
    <t>FL-168 L</t>
  </si>
  <si>
    <t>Northern Shadow 8" Gutter End Cap Rt</t>
  </si>
  <si>
    <t>Northern Shadow 8" Gutter End Cap Lt</t>
  </si>
  <si>
    <t>FL-274</t>
  </si>
  <si>
    <t>Shadow Rake Trim End Cap (SSR Roof)</t>
  </si>
  <si>
    <t>FL-310</t>
  </si>
  <si>
    <t>Eave Closure Low Eave</t>
  </si>
  <si>
    <t>5'-6"</t>
  </si>
  <si>
    <t>6"</t>
  </si>
  <si>
    <t>10"</t>
  </si>
  <si>
    <t>8"</t>
  </si>
  <si>
    <t>17 7/8X14Ga</t>
  </si>
  <si>
    <t>8" Girt Header (8 1/4CX6X4)</t>
  </si>
  <si>
    <t>10" Girt Header (10 1/4CX6X4)</t>
  </si>
  <si>
    <t>19 7/8X14Ga</t>
  </si>
  <si>
    <t>Northern High Shadow Eave Trim (PBR Panel)</t>
  </si>
  <si>
    <t>Northern Shadow Rake Trim Mitered Rt (PBR Panel)</t>
  </si>
  <si>
    <t>Northern Shadow Rake Trim Mitered Lt (PBR Panel)</t>
  </si>
  <si>
    <t>Northern Shadow Peak Box (PBR Panel)(  Sign )</t>
  </si>
  <si>
    <t>Northern Shadow Peak Box (PBR Panel)(  Sign)</t>
  </si>
  <si>
    <t>QTY</t>
  </si>
  <si>
    <t>MARK</t>
  </si>
  <si>
    <t>DESCRIPTION</t>
  </si>
  <si>
    <t>LENGTH</t>
  </si>
  <si>
    <t>COLOR</t>
  </si>
  <si>
    <t>Customer:</t>
  </si>
  <si>
    <t>Job Site Location:</t>
  </si>
  <si>
    <t>Building Size:</t>
  </si>
  <si>
    <t>Interplant Load Date:</t>
  </si>
  <si>
    <t>Load Date:</t>
  </si>
  <si>
    <t>On Site Date:</t>
  </si>
  <si>
    <t>Job Number:</t>
  </si>
  <si>
    <t>CHANGE ORDER #:</t>
  </si>
  <si>
    <t>Issue Date:</t>
  </si>
  <si>
    <t>Job Name:</t>
  </si>
  <si>
    <t xml:space="preserve"> </t>
  </si>
  <si>
    <t>SPECIAL NOTES:</t>
  </si>
  <si>
    <t>DRAWN BY:</t>
  </si>
  <si>
    <t>CHECKER:</t>
  </si>
  <si>
    <t>OF</t>
  </si>
  <si>
    <t>CUSTOMER:</t>
  </si>
  <si>
    <t>BUILDING NUMBER</t>
  </si>
  <si>
    <t>JOB NUMBER</t>
  </si>
  <si>
    <t>DRAWN BY</t>
  </si>
  <si>
    <t>CHECKED BY</t>
  </si>
  <si>
    <t>PAGE WEIGHT:</t>
  </si>
  <si>
    <t>PUNCH</t>
  </si>
  <si>
    <t>`</t>
  </si>
  <si>
    <t>TYPE</t>
  </si>
  <si>
    <t>WIND RATING</t>
  </si>
  <si>
    <t>SWING</t>
  </si>
  <si>
    <t>LOCK TYPE</t>
  </si>
  <si>
    <t>CLOSER TYPE</t>
  </si>
  <si>
    <t>DWG #</t>
  </si>
  <si>
    <t>PART</t>
  </si>
  <si>
    <t>PITCH</t>
  </si>
  <si>
    <t>Total Weight:</t>
  </si>
  <si>
    <t>Rod Bracing Includes (1) Hillside Washer, (1) Flat Washer, &amp; (1) Nut at Each End</t>
  </si>
  <si>
    <t>Cable Bracing Includes (1) Eyebolt, (1) Hillside Washer, (1) Flat Washer, &amp; (1) Nut at Each End</t>
  </si>
  <si>
    <r>
      <t xml:space="preserve">Total number of shipper pages:                       </t>
    </r>
    <r>
      <rPr>
        <i/>
        <sz val="9"/>
        <rFont val="Arial"/>
        <family val="2"/>
      </rPr>
      <t>(not including cover page)</t>
    </r>
  </si>
  <si>
    <t>WALKDOORS</t>
  </si>
  <si>
    <t>WINDOWS</t>
  </si>
  <si>
    <t>FIN TYPE</t>
  </si>
  <si>
    <t>FL-320 R</t>
  </si>
  <si>
    <t>FL-320 L</t>
  </si>
  <si>
    <t>Northern Shadow 10" Gutter End Cap Rt</t>
  </si>
  <si>
    <t>Northern Shadow 10" Gutter End Cap Lt</t>
  </si>
  <si>
    <t>FL-321 R</t>
  </si>
  <si>
    <t>FL-321 L</t>
  </si>
  <si>
    <t>FL-169 R</t>
  </si>
  <si>
    <t>FL-169 L</t>
  </si>
  <si>
    <t>Northern Shadow Gutter End Cap Rt</t>
  </si>
  <si>
    <t>Northern Shadow Gutter End Cap Lt</t>
  </si>
  <si>
    <t>FL-325</t>
  </si>
  <si>
    <t>Shadow Rake Trim End Cap (PBR Panel)</t>
  </si>
  <si>
    <t>FL-326</t>
  </si>
  <si>
    <t>Northern 10" Rake End Cap (PBR Panel)</t>
  </si>
  <si>
    <t>FL-330</t>
  </si>
  <si>
    <t>FL-330 R</t>
  </si>
  <si>
    <t>FL-330 L</t>
  </si>
  <si>
    <t>Northern Shadow Rake Trim Mitered Rt (TS-324)</t>
  </si>
  <si>
    <t>Northern Shadow Rake Trim (TS-324)</t>
  </si>
  <si>
    <t>Northern Shadow Rake Trim Mitered Lt (TS-324)</t>
  </si>
  <si>
    <t>FL-331A</t>
  </si>
  <si>
    <t>Northern Shadow Expansion Peak Box (TS-324)</t>
  </si>
  <si>
    <t>FL-331B</t>
  </si>
  <si>
    <t>FL-331C</t>
  </si>
  <si>
    <t>FL-331D</t>
  </si>
  <si>
    <t>FL-331E</t>
  </si>
  <si>
    <t>FL-335</t>
  </si>
  <si>
    <t>FL-335 R</t>
  </si>
  <si>
    <t>FL-335 L</t>
  </si>
  <si>
    <t>Northern Shadow Rake Trim (VS-216)</t>
  </si>
  <si>
    <t>Northern Shadow Rake Trim Mitered Rt (VS-216)</t>
  </si>
  <si>
    <t>Northern Shadow Rake Trim Mitered Lt (VS-216)</t>
  </si>
  <si>
    <t>FL-336A</t>
  </si>
  <si>
    <t>Northern Shadow Expansion Peak Box (VS-216)</t>
  </si>
  <si>
    <t>FL-336B</t>
  </si>
  <si>
    <t>FL-336C</t>
  </si>
  <si>
    <t>FL-340</t>
  </si>
  <si>
    <t>Northern Shadow 10" Rake Trim (TS-324)</t>
  </si>
  <si>
    <t>FL-343</t>
  </si>
  <si>
    <t>Northern Shadow 10" Rake End Cap (SSR Roof)</t>
  </si>
  <si>
    <t>Rake Trim End Cap (SSR Roof)</t>
  </si>
  <si>
    <t>FL-143</t>
  </si>
  <si>
    <t>Northern 10" Rake End Cap (SSR Roof)</t>
  </si>
  <si>
    <t>CONTINUOUS RIDGE VENTS</t>
  </si>
  <si>
    <t>3/16" DIA. CABLE</t>
  </si>
  <si>
    <t>EYEBOLT w/NUTS</t>
  </si>
  <si>
    <t>WT.</t>
  </si>
  <si>
    <t>SCREWS</t>
  </si>
  <si>
    <t>LOUVERS</t>
  </si>
  <si>
    <t>BOLTS</t>
  </si>
  <si>
    <t>CABLE BRACING</t>
  </si>
  <si>
    <t>ROD BRACING</t>
  </si>
  <si>
    <t>STANDING SEAM HARDWARE</t>
  </si>
  <si>
    <t>TRIM</t>
  </si>
  <si>
    <t>SHEETING (MISC.)</t>
  </si>
  <si>
    <t>SHEETING (ENDWALL)</t>
  </si>
  <si>
    <t>SHEETING (SIDEWALL)</t>
  </si>
  <si>
    <t>SHEETING (STANDING SEAM ROOF)</t>
  </si>
  <si>
    <t>SHEETING (ROOF)</t>
  </si>
  <si>
    <t>PRE-GALVANIZED CLIPS</t>
  </si>
  <si>
    <t>CLIPS</t>
  </si>
  <si>
    <t>MISCELLANEOUS COLD FORM</t>
  </si>
  <si>
    <t>FLANGE BRACES</t>
  </si>
  <si>
    <t>COLD FORM MEMBERS (CEE)</t>
  </si>
  <si>
    <t>EAVE STRUTS</t>
  </si>
  <si>
    <t>PRE-GALVANIZED FABRICATED COLD FORM</t>
  </si>
  <si>
    <t>FABRICATED COLD FORM</t>
  </si>
  <si>
    <t>MISCELLANEOUS HOT ROLLED</t>
  </si>
  <si>
    <t>HOT ROLLED</t>
  </si>
  <si>
    <t>BUILT UP</t>
  </si>
  <si>
    <t>MAIN FRAME HOT ROLLED</t>
  </si>
  <si>
    <t>MAIN FRAME BUILT UP</t>
  </si>
  <si>
    <t>LOCATION</t>
  </si>
  <si>
    <t>FRAME</t>
  </si>
  <si>
    <t>FRAME COLOR</t>
  </si>
  <si>
    <t>FIN TRIM</t>
  </si>
  <si>
    <t xml:space="preserve"> HANDLE</t>
  </si>
  <si>
    <t>FINS</t>
  </si>
  <si>
    <t>SCREEN</t>
  </si>
  <si>
    <t>8X25Z16</t>
  </si>
  <si>
    <t>8X25Z14</t>
  </si>
  <si>
    <t>8X25Z12</t>
  </si>
  <si>
    <t>8X35Z16</t>
  </si>
  <si>
    <t>8X35Z14</t>
  </si>
  <si>
    <t>8X35Z12</t>
  </si>
  <si>
    <t>10X25Z16</t>
  </si>
  <si>
    <t>10X25Z14</t>
  </si>
  <si>
    <t>10X25Z12</t>
  </si>
  <si>
    <t>10X35Z14</t>
  </si>
  <si>
    <t>10X35Z12</t>
  </si>
  <si>
    <t>12X35Z14</t>
  </si>
  <si>
    <t>12X35Z12</t>
  </si>
  <si>
    <t>8X25C16</t>
  </si>
  <si>
    <t>8X25C14</t>
  </si>
  <si>
    <t>8X25C12</t>
  </si>
  <si>
    <t>8X35C16</t>
  </si>
  <si>
    <t>8X35C14</t>
  </si>
  <si>
    <t>8X35C12</t>
  </si>
  <si>
    <t>10X25C16</t>
  </si>
  <si>
    <t>10X25C14</t>
  </si>
  <si>
    <t>10X25C12</t>
  </si>
  <si>
    <t>Zees</t>
  </si>
  <si>
    <t>Cees</t>
  </si>
  <si>
    <t>Colors</t>
  </si>
  <si>
    <t>Screws</t>
  </si>
  <si>
    <t>Roof Colors</t>
  </si>
  <si>
    <t>Screw Colors</t>
  </si>
  <si>
    <t>Coatings</t>
  </si>
  <si>
    <t>Red Oxide</t>
  </si>
  <si>
    <t>Pre-Galvanized</t>
  </si>
  <si>
    <t>Hot Dipped Galvanized</t>
  </si>
  <si>
    <t>Gray Primer</t>
  </si>
  <si>
    <t>Cold Form</t>
  </si>
  <si>
    <t>10X35C14</t>
  </si>
  <si>
    <t>10X35C12</t>
  </si>
  <si>
    <t>12X35C14</t>
  </si>
  <si>
    <t>12X35C12</t>
  </si>
  <si>
    <t>Eave Struts</t>
  </si>
  <si>
    <t>8E14</t>
  </si>
  <si>
    <t>8E12</t>
  </si>
  <si>
    <t>10E14</t>
  </si>
  <si>
    <t>10E12</t>
  </si>
  <si>
    <t>12E14</t>
  </si>
  <si>
    <t>12E12</t>
  </si>
  <si>
    <t>8.25E14</t>
  </si>
  <si>
    <t>8.25E12</t>
  </si>
  <si>
    <t>8.50E14</t>
  </si>
  <si>
    <t>8.5E12</t>
  </si>
  <si>
    <t>10.25E14</t>
  </si>
  <si>
    <t>10.50E14</t>
  </si>
  <si>
    <t>10.50E12</t>
  </si>
  <si>
    <t>12.25E14</t>
  </si>
  <si>
    <t>12.50E14</t>
  </si>
  <si>
    <t>12.50E12</t>
  </si>
  <si>
    <t>12.25E12</t>
  </si>
  <si>
    <t>10.25E12</t>
  </si>
  <si>
    <t>Flange Braces</t>
  </si>
  <si>
    <t>2X2X1/8</t>
  </si>
  <si>
    <t>2X2X14Ga</t>
  </si>
  <si>
    <t>3X2X3/16</t>
  </si>
  <si>
    <t>3X3X3/16</t>
  </si>
  <si>
    <t>FB Desc</t>
  </si>
  <si>
    <t>Flange Brace-Clip Bolted</t>
  </si>
  <si>
    <t>Flange Brace-Web Bolted</t>
  </si>
  <si>
    <t>Mastic Color</t>
  </si>
  <si>
    <t>Gray</t>
  </si>
  <si>
    <t>Almond</t>
  </si>
  <si>
    <t>Bronze</t>
  </si>
  <si>
    <t>White</t>
  </si>
  <si>
    <t>Bolt Color</t>
  </si>
  <si>
    <t>Zinc Plated</t>
  </si>
  <si>
    <t>PreGal Color</t>
  </si>
  <si>
    <t>Almond (Kynar)</t>
  </si>
  <si>
    <t>Ash Gray</t>
  </si>
  <si>
    <t>Aztec Gold</t>
  </si>
  <si>
    <t>Brownstone (Kynar)</t>
  </si>
  <si>
    <t>Bolts</t>
  </si>
  <si>
    <t>1/2" x 1" A307 Low Carbon Bolt w/ Nut</t>
  </si>
  <si>
    <t>1/2" x 1 1/4" A307 Low Carbon Bolt w/ Nut</t>
  </si>
  <si>
    <t>1/2" x 1" A307 Fin Neck Bolt w/ Nut</t>
  </si>
  <si>
    <t>1/2" x 1 1/4" A307 Fin Neck Bolt w/ Nut</t>
  </si>
  <si>
    <t>1/2" Dia. Flat Washer</t>
  </si>
  <si>
    <t>5/8" Dia. Flat Washer</t>
  </si>
  <si>
    <t>3/4" Dia. Flat Washer</t>
  </si>
  <si>
    <t>7/8" Dia. Flat Washer</t>
  </si>
  <si>
    <t>1" Dia. Flat Washer</t>
  </si>
  <si>
    <t>1 1/4" Dia. Flat Washer</t>
  </si>
  <si>
    <t>1 1/2" Dia. Flat Washer</t>
  </si>
  <si>
    <t>#10-16 x 1"- Pancake Self Driller</t>
  </si>
  <si>
    <t>#12 x 1 1/2" Self Driller (Long Life)</t>
  </si>
  <si>
    <t>#12 x 1 1/2" Self Driller w/ Washer</t>
  </si>
  <si>
    <t>#12 x 1 1/4" Self Driller (Long Life)</t>
  </si>
  <si>
    <t>#12 x 1 1/4" Self Driller w/ Washer</t>
  </si>
  <si>
    <t>#12 x 1" Self Driller (No Washer)</t>
  </si>
  <si>
    <t>#12 x 2" Self Driller (Long Life)</t>
  </si>
  <si>
    <t>#12 x 2" Self Driller w/ Washer</t>
  </si>
  <si>
    <t>#14 x 7/8" LapTek Self Driller</t>
  </si>
  <si>
    <t>#14 x 7/8" LapTek Self Driller (Long Life)</t>
  </si>
  <si>
    <t>1/4-14 x 1 1/4" Self Driller (Long Life)</t>
  </si>
  <si>
    <t>1/4-14 x 1 1/4" Shoulder SDS</t>
  </si>
  <si>
    <t>1/4-14 x 7/8" Self Driller (Long Life)</t>
  </si>
  <si>
    <t>SA2-</t>
  </si>
  <si>
    <t xml:space="preserve">1/8" x 3/16" Pop Rivets     </t>
  </si>
  <si>
    <t>Windows</t>
  </si>
  <si>
    <t>Glass</t>
  </si>
  <si>
    <t>Frame</t>
  </si>
  <si>
    <t>Fin Type</t>
  </si>
  <si>
    <t>Flat Fin</t>
  </si>
  <si>
    <t>PBR Fin</t>
  </si>
  <si>
    <t>PBU Fin</t>
  </si>
  <si>
    <t>Fin Trim</t>
  </si>
  <si>
    <t>No</t>
  </si>
  <si>
    <t>Doors</t>
  </si>
  <si>
    <t>Wind</t>
  </si>
  <si>
    <t>None</t>
  </si>
  <si>
    <t>DoorColor</t>
  </si>
  <si>
    <t>Swing</t>
  </si>
  <si>
    <t>Closer</t>
  </si>
  <si>
    <t>Mullion</t>
  </si>
  <si>
    <t>Locks</t>
  </si>
  <si>
    <t>Lever Lockset</t>
  </si>
  <si>
    <t>8 1/4"</t>
  </si>
  <si>
    <t>10 1/4"</t>
  </si>
  <si>
    <t>12 1/4"</t>
  </si>
  <si>
    <t>Bronze Glass</t>
  </si>
  <si>
    <t>Clear Glass</t>
  </si>
  <si>
    <t>Solar Glass</t>
  </si>
  <si>
    <t>RidgeVents</t>
  </si>
  <si>
    <t>9"x10` Continuous Vent w/ Screen &amp; Damper</t>
  </si>
  <si>
    <t>RidgeColor</t>
  </si>
  <si>
    <t>Galvalume</t>
  </si>
  <si>
    <t>RidgeFins</t>
  </si>
  <si>
    <t>Die Form</t>
  </si>
  <si>
    <t>Flat</t>
  </si>
  <si>
    <t>Handle</t>
  </si>
  <si>
    <t>Vents</t>
  </si>
  <si>
    <t>VentColor</t>
  </si>
  <si>
    <t>Skirt</t>
  </si>
  <si>
    <t>Louvers</t>
  </si>
  <si>
    <t>Screen</t>
  </si>
  <si>
    <t>With Screen</t>
  </si>
  <si>
    <t>Without Screen</t>
  </si>
  <si>
    <t>3'-0'' x 3'-0'' Adjustable Louver</t>
  </si>
  <si>
    <t>3'-0'' x 3'-0'' Fixed Louver</t>
  </si>
  <si>
    <t>3'-0'' x 4'-0'' Adjustable Louver</t>
  </si>
  <si>
    <t>3'-0'' x 4'-0'' Fixed Louver</t>
  </si>
  <si>
    <t>3'-0'' x 5'-0'' Adjustable Louver</t>
  </si>
  <si>
    <t>3'-0'' x 5'-0'' Fixed Louver</t>
  </si>
  <si>
    <t>4'-0'' x 4'-0'' Adjustable Louver</t>
  </si>
  <si>
    <t>4'-0'' x 4'-0'' Fixed Louver</t>
  </si>
  <si>
    <t>12"x10` Continuous Vent w/ Screen &amp; Damper</t>
  </si>
  <si>
    <t>CoatingsMinus</t>
  </si>
  <si>
    <t>Burgundy</t>
  </si>
  <si>
    <t>Burnished Slate</t>
  </si>
  <si>
    <t>Charcoal Gray</t>
  </si>
  <si>
    <t>Classic Green (Kynar)</t>
  </si>
  <si>
    <t>Colony Green</t>
  </si>
  <si>
    <t>Crimson Red</t>
  </si>
  <si>
    <t>Desert Sand</t>
  </si>
  <si>
    <t>Evergreen</t>
  </si>
  <si>
    <t>Fern Green</t>
  </si>
  <si>
    <t>Gallery Blue (Kynar)</t>
  </si>
  <si>
    <t>Galvanized</t>
  </si>
  <si>
    <t>Hawaiian Blue</t>
  </si>
  <si>
    <t>Koko Brown</t>
  </si>
  <si>
    <t>Light Stone</t>
  </si>
  <si>
    <t>Polar White</t>
  </si>
  <si>
    <t>Regal Red (Kynar)</t>
  </si>
  <si>
    <t>Rustic Red</t>
  </si>
  <si>
    <t>Saddle Tan</t>
  </si>
  <si>
    <t>Slate Gray (Kynar)</t>
  </si>
  <si>
    <t>Snow White (Kynar)</t>
  </si>
  <si>
    <t>Solar White</t>
  </si>
  <si>
    <t>Plain</t>
  </si>
  <si>
    <t>FL-31</t>
  </si>
  <si>
    <t>FL-32</t>
  </si>
  <si>
    <t>FL-34</t>
  </si>
  <si>
    <t>Trim Marks</t>
  </si>
  <si>
    <t>FL-10</t>
  </si>
  <si>
    <t>FL-11</t>
  </si>
  <si>
    <t>FL-12</t>
  </si>
  <si>
    <t>FL-13</t>
  </si>
  <si>
    <t>FL-14</t>
  </si>
  <si>
    <t>FL-15</t>
  </si>
  <si>
    <t>FL-16</t>
  </si>
  <si>
    <t>FL-18</t>
  </si>
  <si>
    <t>FL-21</t>
  </si>
  <si>
    <t>FL-23</t>
  </si>
  <si>
    <t>FL-24</t>
  </si>
  <si>
    <t>FL-26</t>
  </si>
  <si>
    <t>FL-27</t>
  </si>
  <si>
    <t>FL-29</t>
  </si>
  <si>
    <t>FL-36</t>
  </si>
  <si>
    <t>FL-37</t>
  </si>
  <si>
    <t>FL-38</t>
  </si>
  <si>
    <t>FL-39A</t>
  </si>
  <si>
    <t>FL-39B</t>
  </si>
  <si>
    <t>FL-40</t>
  </si>
  <si>
    <t>FL-41</t>
  </si>
  <si>
    <t>FL-42</t>
  </si>
  <si>
    <t>FL-43</t>
  </si>
  <si>
    <t>FL-44</t>
  </si>
  <si>
    <t>FL-45</t>
  </si>
  <si>
    <t>FL-46</t>
  </si>
  <si>
    <t>FL-47</t>
  </si>
  <si>
    <t>FL-48</t>
  </si>
  <si>
    <t>FL-49</t>
  </si>
  <si>
    <t>FL-50</t>
  </si>
  <si>
    <t>FL-51</t>
  </si>
  <si>
    <t>FL-52</t>
  </si>
  <si>
    <t>FL-53</t>
  </si>
  <si>
    <t>FL-54</t>
  </si>
  <si>
    <t>FL-55</t>
  </si>
  <si>
    <t>FL-56</t>
  </si>
  <si>
    <t>FL-57</t>
  </si>
  <si>
    <t>FL-58</t>
  </si>
  <si>
    <t>FL-59</t>
  </si>
  <si>
    <t>FL-60</t>
  </si>
  <si>
    <t>FL-61</t>
  </si>
  <si>
    <t>FL-62</t>
  </si>
  <si>
    <t>FL-63</t>
  </si>
  <si>
    <t>FL-64</t>
  </si>
  <si>
    <t>FL-65</t>
  </si>
  <si>
    <t>FL-66</t>
  </si>
  <si>
    <t>FL-67</t>
  </si>
  <si>
    <t>FL-68</t>
  </si>
  <si>
    <t>FL-69</t>
  </si>
  <si>
    <t>FL-70</t>
  </si>
  <si>
    <t>FL-71</t>
  </si>
  <si>
    <t>FL-72</t>
  </si>
  <si>
    <t>FL-73</t>
  </si>
  <si>
    <t>FL-74</t>
  </si>
  <si>
    <t>FL-75</t>
  </si>
  <si>
    <t>FL-76</t>
  </si>
  <si>
    <t>FL-78</t>
  </si>
  <si>
    <t>FL-79</t>
  </si>
  <si>
    <t>FL-80</t>
  </si>
  <si>
    <t>FL-81</t>
  </si>
  <si>
    <t>FL-82</t>
  </si>
  <si>
    <t>FL-83</t>
  </si>
  <si>
    <t>FL-84</t>
  </si>
  <si>
    <t>FL-85</t>
  </si>
  <si>
    <t>FL-86</t>
  </si>
  <si>
    <t>FL-87</t>
  </si>
  <si>
    <t>FL-88</t>
  </si>
  <si>
    <t>FL-89</t>
  </si>
  <si>
    <t>FL-90</t>
  </si>
  <si>
    <t>FL-91</t>
  </si>
  <si>
    <t>FL-92</t>
  </si>
  <si>
    <t>FL-93</t>
  </si>
  <si>
    <t>FL-94</t>
  </si>
  <si>
    <t>FL-95</t>
  </si>
  <si>
    <t>FL-96</t>
  </si>
  <si>
    <t>FL-97</t>
  </si>
  <si>
    <t>FL-98</t>
  </si>
  <si>
    <t>FL-100</t>
  </si>
  <si>
    <t>FL-101</t>
  </si>
  <si>
    <t>FL-102</t>
  </si>
  <si>
    <t>FL-103</t>
  </si>
  <si>
    <t>FL-104</t>
  </si>
  <si>
    <t>FL-111</t>
  </si>
  <si>
    <t>FL-114</t>
  </si>
  <si>
    <t>FL-117</t>
  </si>
  <si>
    <t>FL-120</t>
  </si>
  <si>
    <t>FL-121</t>
  </si>
  <si>
    <t>FL-124</t>
  </si>
  <si>
    <t>FL-125</t>
  </si>
  <si>
    <t>FL-128</t>
  </si>
  <si>
    <t>FL-129</t>
  </si>
  <si>
    <t>FL-130</t>
  </si>
  <si>
    <t>FL-131</t>
  </si>
  <si>
    <t>FL-135</t>
  </si>
  <si>
    <t>FL-136</t>
  </si>
  <si>
    <t>FL-139</t>
  </si>
  <si>
    <t>FL-140</t>
  </si>
  <si>
    <t>FL-141</t>
  </si>
  <si>
    <t>FL-146</t>
  </si>
  <si>
    <t>FL-147</t>
  </si>
  <si>
    <t xml:space="preserve">FL-155 </t>
  </si>
  <si>
    <t>FL-157</t>
  </si>
  <si>
    <t>FL-158</t>
  </si>
  <si>
    <t>FL-161</t>
  </si>
  <si>
    <t>FL-162</t>
  </si>
  <si>
    <t>FL-163</t>
  </si>
  <si>
    <t>FL-164</t>
  </si>
  <si>
    <t>FL-200</t>
  </si>
  <si>
    <t>FL-201</t>
  </si>
  <si>
    <t>FL-202</t>
  </si>
  <si>
    <t>FL-203A</t>
  </si>
  <si>
    <t>FL-203B</t>
  </si>
  <si>
    <t>FL-203C</t>
  </si>
  <si>
    <t>FL-204</t>
  </si>
  <si>
    <t>FL-206</t>
  </si>
  <si>
    <t>FL-207</t>
  </si>
  <si>
    <t>FL-208</t>
  </si>
  <si>
    <t>FL-209</t>
  </si>
  <si>
    <t>FL-211</t>
  </si>
  <si>
    <t>FL-213</t>
  </si>
  <si>
    <t>FL-214</t>
  </si>
  <si>
    <t>FL-217</t>
  </si>
  <si>
    <t>FL-218</t>
  </si>
  <si>
    <t>FL-219</t>
  </si>
  <si>
    <t>FL-220</t>
  </si>
  <si>
    <t>FL-221</t>
  </si>
  <si>
    <t>FL-222</t>
  </si>
  <si>
    <t>FL-223</t>
  </si>
  <si>
    <t>FL-224</t>
  </si>
  <si>
    <t>FL-225</t>
  </si>
  <si>
    <t>FL-226</t>
  </si>
  <si>
    <t>FL-230</t>
  </si>
  <si>
    <t>Saved?</t>
  </si>
  <si>
    <t>OPERATOR W/(2) CLAMPS, (2) PULLEYS  (PER VENT)</t>
  </si>
  <si>
    <t>Gage</t>
  </si>
  <si>
    <t>26 Ga.</t>
  </si>
  <si>
    <t>24 Ga.</t>
  </si>
  <si>
    <t>GAUGE</t>
  </si>
  <si>
    <t>1/2" x 1 1/4" A325 Bolt w/ Hi-Str. Nut</t>
  </si>
  <si>
    <t>1/2" x 1 1/2" A325 Bolt w/ Hi-Str. Nut</t>
  </si>
  <si>
    <t>1/2" x 1" A325 Bolt w/ Hi-Str. Nut</t>
  </si>
  <si>
    <t>5/8" x 1 1/4" A325 Bolt w/ Hi-Str. Nut</t>
  </si>
  <si>
    <t>5/8" x 1 1/2" A325 Bolt w/ Hi-Str. Nut</t>
  </si>
  <si>
    <t>5/8" x 1 3/4" A325 Bolt w/ Hi-Str. Nut</t>
  </si>
  <si>
    <t>5/8" x 2" A325 Bolt w/ Hi-Str. Nut</t>
  </si>
  <si>
    <t>5/8" x 2 1/4" A325 Bolt w/ Hi-Str. Nut</t>
  </si>
  <si>
    <t>Base Angle</t>
  </si>
  <si>
    <t>Rake Support Angle 2 3/8"</t>
  </si>
  <si>
    <t>Rake Support Angle 3 3/8"</t>
  </si>
  <si>
    <t>Rake Support Angle 4 3/8"</t>
  </si>
  <si>
    <t>5/8" x 2 1/2" A325 Bolt w/ Hi-Str. Nut</t>
  </si>
  <si>
    <t>3/4" x 1 1/2" A325 Bolt w/ Hi-Str. Nut</t>
  </si>
  <si>
    <t>3/4" x 1 3/4" A325 Bolt w/ Hi-Str. Nut</t>
  </si>
  <si>
    <t>3/4" x 2" A325 Bolt w/ Hi-Str. Nut</t>
  </si>
  <si>
    <t>3/4" x 2 1/4" A325 Bolt w/ Hi-Str. Nut</t>
  </si>
  <si>
    <t>3/4" x 2 1/2" A325 Bolt w/ Hi-Str. Nut</t>
  </si>
  <si>
    <t>ScrewLength</t>
  </si>
  <si>
    <t>3/4" x 2 3/4" A325 Bolt w/ Hi-Str. Nut</t>
  </si>
  <si>
    <t>3/4" x 3" A325 Bolt w/ Hi-Str. Nut</t>
  </si>
  <si>
    <t>7/8" x 2" A325 Bolt w/ Hi-Str. Nut</t>
  </si>
  <si>
    <t>7/8" x 2 1/4" A325 Bolt w/ Hi-Str. Nut</t>
  </si>
  <si>
    <t>7/8" x 2 1/2" A325 Bolt w/ Hi-Str. Nut</t>
  </si>
  <si>
    <t>7/8" x 2 3/4" A325 Bolt w/ Hi-Str. Nut</t>
  </si>
  <si>
    <t>7/8" x 3" A325 Bolt w/ Hi-Str. Nut</t>
  </si>
  <si>
    <t>7/8" x 3 1/4" A325 Bolt w/ Hi-Str. Nut</t>
  </si>
  <si>
    <t>1" x 2 1/4" A325 Bolt w/ Hi-Str. Nut</t>
  </si>
  <si>
    <t>1" x 2 1/2" A325 Bolt w/ Hi-Str. Nut</t>
  </si>
  <si>
    <t>1" x 2 3/4" A325 Bolt w/ Hi-Str. Nut</t>
  </si>
  <si>
    <t>1" x 3" A325 Bolt w/ Hi-Str. Nut</t>
  </si>
  <si>
    <t>1" x 3 1/4" A325 Bolt w/ Hi-Str. Nut</t>
  </si>
  <si>
    <t>1" x 3 1/2" A325 Bolt w/ Hi-Str. Nut</t>
  </si>
  <si>
    <t>1" x 3 3/4" A325 Bolt w/ Hi-Str. Nut</t>
  </si>
  <si>
    <t>1 1/4" x 3" A325 Bolt w/ Hi-Str. Nut</t>
  </si>
  <si>
    <t>1 1/4" x 3 1/2" A325 Bolt w/ Hi-Str. Nut</t>
  </si>
  <si>
    <t>1 1/4" x 4" A325 Bolt w/ Hi-Str. Nut</t>
  </si>
  <si>
    <t>1 1/4" x 4 1/2" A325 Bolt w/ Hi-Str. Nut</t>
  </si>
  <si>
    <t>8X70D14</t>
  </si>
  <si>
    <t>8X70D12</t>
  </si>
  <si>
    <t>10X70D12</t>
  </si>
  <si>
    <t>Quantity</t>
  </si>
  <si>
    <t xml:space="preserve">Mark           </t>
  </si>
  <si>
    <t>Part/Description</t>
  </si>
  <si>
    <t>Color</t>
  </si>
  <si>
    <t>Drawing</t>
  </si>
  <si>
    <t>Length</t>
  </si>
  <si>
    <t>LengthCut</t>
  </si>
  <si>
    <t>Punch</t>
  </si>
  <si>
    <t>Inches</t>
  </si>
  <si>
    <t>Gutter End Cap (Box) (PBU Panel)</t>
  </si>
  <si>
    <t>Gutter End Cap (Box) (PBR Panel)</t>
  </si>
  <si>
    <t>Gutter Strap (PBR Panel)</t>
  </si>
  <si>
    <t>Eave Gutter (Box) (PBU Panel)</t>
  </si>
  <si>
    <t>Eave Gutter (Box Hang On) (PBU Panel)</t>
  </si>
  <si>
    <t>Eave Gutter (PBU Panel)</t>
  </si>
  <si>
    <t>Eave Gutter (PBR Panel)</t>
  </si>
  <si>
    <t>Eave Trim (Simple)</t>
  </si>
  <si>
    <t>Low Side Eave Trim (PBR Panel)</t>
  </si>
  <si>
    <t>High Side Eave Trim (PBR Panel)</t>
  </si>
  <si>
    <t>Rake Trim (PBU Panel)</t>
  </si>
  <si>
    <t>Rake Trim (PBR Panel)</t>
  </si>
  <si>
    <t>FL-22</t>
  </si>
  <si>
    <t>Rake Trim End Cap (PBR Panel)</t>
  </si>
  <si>
    <t>Box Rake (PBU Panel)</t>
  </si>
  <si>
    <t>Box Rake End Cap</t>
  </si>
  <si>
    <t>Box Rake (PBR Panel)</t>
  </si>
  <si>
    <t>Inside Corner Trim (PBU Panel)</t>
  </si>
  <si>
    <t>Inside Corner Trim (PBR Panel)</t>
  </si>
  <si>
    <t>Corner Trim (PBU Panel)</t>
  </si>
  <si>
    <t>Downspout (Straight)</t>
  </si>
  <si>
    <t>Downspout with Kickout (45º Elbow)</t>
  </si>
  <si>
    <t>Jamb Trim (PBU Panel)</t>
  </si>
  <si>
    <t>Jamb Trim (PBR Panel)</t>
  </si>
  <si>
    <t>Scupper</t>
  </si>
  <si>
    <t>Downspout Wall Offset Return</t>
  </si>
  <si>
    <t>Downspout Elbow (90º)</t>
  </si>
  <si>
    <t>Downspout Elbow (45º)</t>
  </si>
  <si>
    <t>F.O. Cover Trim (8")</t>
  </si>
  <si>
    <t>Drip Trim</t>
  </si>
  <si>
    <t>Window Sill Trim (Fixed Glass)</t>
  </si>
  <si>
    <t>Head Trim (PBU Panel)</t>
  </si>
  <si>
    <t>Flat Ridge Cap</t>
  </si>
  <si>
    <t>Base Trim</t>
  </si>
  <si>
    <t>Base Flash</t>
  </si>
  <si>
    <t>Roof Conversion Trim (PBU Panel)</t>
  </si>
  <si>
    <t>Roof Conversion Trim (PBR Panel)</t>
  </si>
  <si>
    <t>2x2 Outside Angle</t>
  </si>
  <si>
    <t>2x2 Inside Angle</t>
  </si>
  <si>
    <t>3x3 Outside Angle</t>
  </si>
  <si>
    <t>3x3 Inside Angle</t>
  </si>
  <si>
    <t xml:space="preserve">Starter Trim (RVPBU Panel)         </t>
  </si>
  <si>
    <t>Corner Trim - Open Wall (PBR Panel)</t>
  </si>
  <si>
    <t>Formed Base Trim</t>
  </si>
  <si>
    <t>Eave Space Trim (8" Eave Strut)</t>
  </si>
  <si>
    <t>Rake Spacer Trim w/ Soffit</t>
  </si>
  <si>
    <t>Rake Spacer Trim w/o Soffit</t>
  </si>
  <si>
    <t xml:space="preserve">Ridge End Cap                 </t>
  </si>
  <si>
    <t xml:space="preserve">Expansion Ridge                     </t>
  </si>
  <si>
    <t>Rake End Cap  (Diamondback)</t>
  </si>
  <si>
    <t>Peak Box  (Diamondback)</t>
  </si>
  <si>
    <t>Corner and Rake Trim  (Diamondback)</t>
  </si>
  <si>
    <t>Eave Gutter (Box)</t>
  </si>
  <si>
    <t>Eave Gutter (Box Hang On)</t>
  </si>
  <si>
    <t>Valley Trim (Extended)</t>
  </si>
  <si>
    <t>Valley Trim</t>
  </si>
  <si>
    <t>Slide Door Hood End Cap</t>
  </si>
  <si>
    <t>Slide Door Hood Trim</t>
  </si>
  <si>
    <t>Skylight Trim (PBR Panel)</t>
  </si>
  <si>
    <t>High Eave Flashing</t>
  </si>
  <si>
    <t>Partition Trim (8" Purlins)</t>
  </si>
  <si>
    <t>FL-119 R</t>
  </si>
  <si>
    <t>FL-119 L</t>
  </si>
  <si>
    <t>FL-21 R</t>
  </si>
  <si>
    <t>FL-24 R</t>
  </si>
  <si>
    <t>FL-21 L</t>
  </si>
  <si>
    <t>FL-27 R</t>
  </si>
  <si>
    <t>FL-27 L</t>
  </si>
  <si>
    <t>FL-28 R</t>
  </si>
  <si>
    <t>FL-28 L</t>
  </si>
  <si>
    <t>FL-29 R</t>
  </si>
  <si>
    <t>FL-29 L</t>
  </si>
  <si>
    <t>FL-30 R</t>
  </si>
  <si>
    <t>FL-30 L</t>
  </si>
  <si>
    <t>SA3</t>
  </si>
  <si>
    <t>8X4X16Ga</t>
  </si>
  <si>
    <t>SA4</t>
  </si>
  <si>
    <t>8X8X16Ga</t>
  </si>
  <si>
    <t>BRC-7</t>
  </si>
  <si>
    <t>Bridging Clip</t>
  </si>
  <si>
    <t>BRC-9</t>
  </si>
  <si>
    <t>BRC-11</t>
  </si>
  <si>
    <t>BRZ-1</t>
  </si>
  <si>
    <t>Bridging Zee</t>
  </si>
  <si>
    <t>GC-1</t>
  </si>
  <si>
    <t>Gutter Clip</t>
  </si>
  <si>
    <t>FL-32 R</t>
  </si>
  <si>
    <t>FL-32 L</t>
  </si>
  <si>
    <t>FL-33 R</t>
  </si>
  <si>
    <t>FL-33 L</t>
  </si>
  <si>
    <t>FL-34 R</t>
  </si>
  <si>
    <t>FL-118 R</t>
  </si>
  <si>
    <t>FL-118 L</t>
  </si>
  <si>
    <t>FL-117 R</t>
  </si>
  <si>
    <t>FL-117 L</t>
  </si>
  <si>
    <t>FL-114 R</t>
  </si>
  <si>
    <t>FL-116 L</t>
  </si>
  <si>
    <t>FL-116 R</t>
  </si>
  <si>
    <t>FL-115 L</t>
  </si>
  <si>
    <t>FL-115 R</t>
  </si>
  <si>
    <t>FL-114 L</t>
  </si>
  <si>
    <t>FL-112 L</t>
  </si>
  <si>
    <t>FL-112 R</t>
  </si>
  <si>
    <t>FL-111 L</t>
  </si>
  <si>
    <t>FL-111 R</t>
  </si>
  <si>
    <t>PURCHASE - CRANE RAILS &amp; HOOK BOLTS</t>
  </si>
  <si>
    <t>Rail runs with Splice Bars, Bolts &amp; Standard Punching for hook bolts, 4" apart , 24" on center</t>
  </si>
  <si>
    <t>LB/YD</t>
  </si>
  <si>
    <t>Hook Bolt Diameter</t>
  </si>
  <si>
    <t>Hook bolts with (1) nut each to fit:</t>
  </si>
  <si>
    <t>Rail (LB/YD)</t>
  </si>
  <si>
    <t>Channel Cap Size</t>
  </si>
  <si>
    <t>Roll Form Downspout Strap</t>
  </si>
  <si>
    <t>Roll Form Downspout (45º Offset)</t>
  </si>
  <si>
    <t>Roll Form Downspout (72º Kickout)</t>
  </si>
  <si>
    <t>Roll Form Downspout</t>
  </si>
  <si>
    <t>Corner Trim - Open Wall (PBU Panel)</t>
  </si>
  <si>
    <t>Rafter Closure Trim (PBU Panel)</t>
  </si>
  <si>
    <t>Rafter Closure Trim (PBR Panel)</t>
  </si>
  <si>
    <t>Jamb Trim (RVPBU Panel)</t>
  </si>
  <si>
    <t>Canopy Eave Trim w/ Soffit (PBU Panel)</t>
  </si>
  <si>
    <t>Canopy Eave Trim w/ Soffit (PBR Panel)</t>
  </si>
  <si>
    <t>Canopy Eave Trim w/o Soffit</t>
  </si>
  <si>
    <t>Beveled Cap Trim (PBU Panel)</t>
  </si>
  <si>
    <t>Fascia Cap Trim</t>
  </si>
  <si>
    <t>Beveled Cap Trim (PBR Panel)</t>
  </si>
  <si>
    <t>Soffit Peak Trim</t>
  </si>
  <si>
    <t>Liner Conversion Trim (PBR Panel)</t>
  </si>
  <si>
    <t>Window Jamb Stiffener</t>
  </si>
  <si>
    <t>Partition Trim (8" Girts)</t>
  </si>
  <si>
    <t>FL-120 R</t>
  </si>
  <si>
    <t>FL-120 L</t>
  </si>
  <si>
    <t>FL-144 R</t>
  </si>
  <si>
    <t>FL-144 L</t>
  </si>
  <si>
    <t>FL-142 R</t>
  </si>
  <si>
    <t>FL-142 L</t>
  </si>
  <si>
    <t>FL-141 R</t>
  </si>
  <si>
    <t>Northern 10" High Eave Trim (TS-324)</t>
  </si>
  <si>
    <t>FL-141 L</t>
  </si>
  <si>
    <t>Northern 10" Peak Box (TS-324)</t>
  </si>
  <si>
    <t>FL-138 R</t>
  </si>
  <si>
    <t>FL-138 L</t>
  </si>
  <si>
    <t>FL-137 L</t>
  </si>
  <si>
    <t>FL-137 R</t>
  </si>
  <si>
    <t>Northern 10" Rake Trim (TS-324)</t>
  </si>
  <si>
    <t>Gutter Clip - O.S. Gutter (PBR Panel)</t>
  </si>
  <si>
    <t>Northern 10" Peak Box (PBR Panel)</t>
  </si>
  <si>
    <t>Northern 7 1/4" Peak Box (PBR Panel)</t>
  </si>
  <si>
    <t>FL-127 L</t>
  </si>
  <si>
    <t>FL-127 R</t>
  </si>
  <si>
    <t>FL-126 R</t>
  </si>
  <si>
    <t>FL-126 L</t>
  </si>
  <si>
    <t>FL-125 R</t>
  </si>
  <si>
    <t>Northern 10" Rake Trim (PBR Panel)</t>
  </si>
  <si>
    <t>FL-124 R</t>
  </si>
  <si>
    <t>Northern 7 1/4" Rake Trim (PBR Panel)</t>
  </si>
  <si>
    <t>FL-123 R</t>
  </si>
  <si>
    <t>FL-123 L</t>
  </si>
  <si>
    <t>FL-124 L</t>
  </si>
  <si>
    <t>FL-125 L</t>
  </si>
  <si>
    <t>FL-122 L</t>
  </si>
  <si>
    <t>FL-122 R</t>
  </si>
  <si>
    <t>FL-121 R</t>
  </si>
  <si>
    <t>FL-121 L</t>
  </si>
  <si>
    <t>Northern 10" High Eave Trim (PBR Panel)</t>
  </si>
  <si>
    <t>FL-145 R</t>
  </si>
  <si>
    <t>FL-145 L</t>
  </si>
  <si>
    <t>Northern 7 1/4" Gutter</t>
  </si>
  <si>
    <t>Northern 8" Gutter</t>
  </si>
  <si>
    <t>Northern 7 1/4" High Eave Trim</t>
  </si>
  <si>
    <t>Northern 10" Gutter</t>
  </si>
  <si>
    <t>Shadow Rake Trim (PBR Panel)</t>
  </si>
  <si>
    <t>FL-175 L</t>
  </si>
  <si>
    <t>FL-175 R</t>
  </si>
  <si>
    <t>FL-175</t>
  </si>
  <si>
    <t>FL-170</t>
  </si>
  <si>
    <t>FL-170 R</t>
  </si>
  <si>
    <t>FL-170 L</t>
  </si>
  <si>
    <t>Shadow Gutter (PBR Panel)</t>
  </si>
  <si>
    <t>FL-166 R</t>
  </si>
  <si>
    <t>FL-166 L</t>
  </si>
  <si>
    <t>FL-165 R</t>
  </si>
  <si>
    <t>FL-165 L</t>
  </si>
  <si>
    <t>Northern 10" Peak Box (VS-216)</t>
  </si>
  <si>
    <t>FL-162 R</t>
  </si>
  <si>
    <t>Northern 10" High Eave Trim (VS-216)</t>
  </si>
  <si>
    <t>Gutter Clip (TS-324)</t>
  </si>
  <si>
    <t>FL-162 L</t>
  </si>
  <si>
    <t>FL-161 R</t>
  </si>
  <si>
    <t>FL-161 L</t>
  </si>
  <si>
    <t>Northern 7 1/4" High Eave Trim (VS-216)</t>
  </si>
  <si>
    <t>FL-160 R</t>
  </si>
  <si>
    <t>FL-160 L</t>
  </si>
  <si>
    <t>FL-159 R</t>
  </si>
  <si>
    <t>FL-159 L</t>
  </si>
  <si>
    <t>Northern 10" Rake Trim (VS-216)</t>
  </si>
  <si>
    <t>FL-157 R</t>
  </si>
  <si>
    <t>FL-157 L</t>
  </si>
  <si>
    <t>Northern 7 1/4" Rake Trim (VS-216)</t>
  </si>
  <si>
    <t>FL-156 L</t>
  </si>
  <si>
    <t>FL-156 R</t>
  </si>
  <si>
    <t>FL-155 R</t>
  </si>
  <si>
    <t>FL-155 L</t>
  </si>
  <si>
    <t>FL-148 R</t>
  </si>
  <si>
    <t>FL-148 L</t>
  </si>
  <si>
    <t>FL-147 R</t>
  </si>
  <si>
    <t>FL-147 L</t>
  </si>
  <si>
    <t>Northern 7 1/4" High Eave Trim (TS-324)</t>
  </si>
  <si>
    <t>FL-146 R</t>
  </si>
  <si>
    <t>FL-146 L</t>
  </si>
  <si>
    <t>Northern 7 1/4" Rake Trim (TS-324)</t>
  </si>
  <si>
    <t>FL-180</t>
  </si>
  <si>
    <t>Shadow Peak Box (PBR Panel)</t>
  </si>
  <si>
    <t>LTP Flashing</t>
  </si>
  <si>
    <t>Parapet Rake Cleat</t>
  </si>
  <si>
    <t>Parapet Rake Flash</t>
  </si>
  <si>
    <t>Parapet Rake (Fixed)</t>
  </si>
  <si>
    <t xml:space="preserve">High Side Parapet Trim </t>
  </si>
  <si>
    <t>Offset Cleat</t>
  </si>
  <si>
    <t>Alternate Counter Flash</t>
  </si>
  <si>
    <t>Counter Flash</t>
  </si>
  <si>
    <t>Lowside Eave Corner Box</t>
  </si>
  <si>
    <t>Flat Eave Trim (SSR Panel)</t>
  </si>
  <si>
    <t>Offset Panel Cap Trim</t>
  </si>
  <si>
    <t>FL-212 R</t>
  </si>
  <si>
    <t>FL-212 L</t>
  </si>
  <si>
    <t>Sculptured Low Side Eave Trim (TS-324)</t>
  </si>
  <si>
    <t>8X2CH14Ga</t>
  </si>
  <si>
    <t>10X2CH14Ga</t>
  </si>
  <si>
    <t>12X2CH14Ga</t>
  </si>
  <si>
    <t>FL-210 R</t>
  </si>
  <si>
    <t>FL-210 L</t>
  </si>
  <si>
    <t>FL-209 R</t>
  </si>
  <si>
    <t>FL-209 L</t>
  </si>
  <si>
    <t>High Side Eave Trim Mitered</t>
  </si>
  <si>
    <t>12-24 x 1 1/4" Tek 5 w/ Washer</t>
  </si>
  <si>
    <t>Variable Termination Trim</t>
  </si>
  <si>
    <t>Rake Slide Flashing</t>
  </si>
  <si>
    <t>Rake Trim (SSR Roof)</t>
  </si>
  <si>
    <t>FL-206 L</t>
  </si>
  <si>
    <t>FL-206 R</t>
  </si>
  <si>
    <t>FL-205 L</t>
  </si>
  <si>
    <t>FL-205 R</t>
  </si>
  <si>
    <t>Eave Gutter (TS-324)</t>
  </si>
  <si>
    <t>FL-204 R</t>
  </si>
  <si>
    <t>FL-204 L</t>
  </si>
  <si>
    <t>Peak Box 1/2:12 (SSR Roof)</t>
  </si>
  <si>
    <t>Peak Box 2:12 (SSR Roof)</t>
  </si>
  <si>
    <t>Peak Box 1:12 (SSR Roof)</t>
  </si>
  <si>
    <t>"Z" Closure (TS-324)</t>
  </si>
  <si>
    <t>Ridge End Cap (SSR Roof)</t>
  </si>
  <si>
    <t>Ridge Flashing (SSR Roof)</t>
  </si>
  <si>
    <t>"Z" Closure (VS-216)</t>
  </si>
  <si>
    <t>SILL HEIGHT</t>
  </si>
  <si>
    <t>Clips</t>
  </si>
  <si>
    <t>CL-1</t>
  </si>
  <si>
    <t>CL-2</t>
  </si>
  <si>
    <t>CL-3</t>
  </si>
  <si>
    <t>CL-4</t>
  </si>
  <si>
    <t>CL-5</t>
  </si>
  <si>
    <t>CL-6</t>
  </si>
  <si>
    <t>CL-8</t>
  </si>
  <si>
    <t>CL-9</t>
  </si>
  <si>
    <t>CL-10</t>
  </si>
  <si>
    <t>CL-11</t>
  </si>
  <si>
    <t>CL-13A</t>
  </si>
  <si>
    <t>CL-13B</t>
  </si>
  <si>
    <t>CL-14A</t>
  </si>
  <si>
    <t>CL-14B</t>
  </si>
  <si>
    <t>CL-15A</t>
  </si>
  <si>
    <t>CL-15B</t>
  </si>
  <si>
    <t>CL-15C</t>
  </si>
  <si>
    <t>CL-15D</t>
  </si>
  <si>
    <t>CL-16</t>
  </si>
  <si>
    <t>CL-18</t>
  </si>
  <si>
    <t>CL-18A</t>
  </si>
  <si>
    <t>CL-19</t>
  </si>
  <si>
    <t>CL-21A</t>
  </si>
  <si>
    <t>CL-21B</t>
  </si>
  <si>
    <t>CL-22</t>
  </si>
  <si>
    <t>CL-23</t>
  </si>
  <si>
    <t>CL-24</t>
  </si>
  <si>
    <t>CL-25</t>
  </si>
  <si>
    <t>CL-26</t>
  </si>
  <si>
    <t>CL-27</t>
  </si>
  <si>
    <t>CL-28</t>
  </si>
  <si>
    <t>CL-29</t>
  </si>
  <si>
    <t>CL-30</t>
  </si>
  <si>
    <t>CL-31</t>
  </si>
  <si>
    <t>CL-32</t>
  </si>
  <si>
    <t>CL-33</t>
  </si>
  <si>
    <t>CL-34</t>
  </si>
  <si>
    <t>CL-35</t>
  </si>
  <si>
    <t>CL-36</t>
  </si>
  <si>
    <t>CL-37</t>
  </si>
  <si>
    <t>CL-38</t>
  </si>
  <si>
    <t>CL-39</t>
  </si>
  <si>
    <t>CL-40</t>
  </si>
  <si>
    <t>CL-41</t>
  </si>
  <si>
    <t>CL-42</t>
  </si>
  <si>
    <t>CL-43</t>
  </si>
  <si>
    <t>CL-44</t>
  </si>
  <si>
    <t>CL-45</t>
  </si>
  <si>
    <t>CL-46</t>
  </si>
  <si>
    <t>CL-47</t>
  </si>
  <si>
    <t>CL-48</t>
  </si>
  <si>
    <t>CL-49</t>
  </si>
  <si>
    <t>CL-50</t>
  </si>
  <si>
    <t>CL-51</t>
  </si>
  <si>
    <t>CL-52</t>
  </si>
  <si>
    <t>CL-58</t>
  </si>
  <si>
    <t>CL-53</t>
  </si>
  <si>
    <t>CL-59</t>
  </si>
  <si>
    <t>CL-60</t>
  </si>
  <si>
    <t>CL-61</t>
  </si>
  <si>
    <t>CL-62</t>
  </si>
  <si>
    <t>CL-63</t>
  </si>
  <si>
    <t>CL-64</t>
  </si>
  <si>
    <t>CL-65</t>
  </si>
  <si>
    <t>CL-66</t>
  </si>
  <si>
    <t>CL-67</t>
  </si>
  <si>
    <t>CL-68</t>
  </si>
  <si>
    <t>CL-80</t>
  </si>
  <si>
    <t>CL-81</t>
  </si>
  <si>
    <t>CL-82</t>
  </si>
  <si>
    <t>CL-107</t>
  </si>
  <si>
    <t>CL-108</t>
  </si>
  <si>
    <t>CL-109</t>
  </si>
  <si>
    <t>Jamb To Eave Strut Clip</t>
  </si>
  <si>
    <t>Jamb To Girt Clip</t>
  </si>
  <si>
    <t>Main End Frame Cold Form Clip (1'-2 Set-Back)</t>
  </si>
  <si>
    <t>main End Frame Girt Clip (8" By-Pass)</t>
  </si>
  <si>
    <t>Braced Clip (Flush)</t>
  </si>
  <si>
    <t>Braced Clip (By-Pass)</t>
  </si>
  <si>
    <t>Bracing Pad</t>
  </si>
  <si>
    <t>Girt Clip (4 Bolt Flush)</t>
  </si>
  <si>
    <t>Eave Strut Stiffener Plate ( 2 1/2 GA)</t>
  </si>
  <si>
    <t>Eave Strut Stiffener Plate</t>
  </si>
  <si>
    <t>Purlin And Girt Clip (10" By-Pass)</t>
  </si>
  <si>
    <t>Cable Brace Anchor</t>
  </si>
  <si>
    <t>Liner Flange Brace Clip (8" Member)</t>
  </si>
  <si>
    <t>Column Clip (Knife Plate)</t>
  </si>
  <si>
    <t>Liner Flange Brace Clip (10" Member)</t>
  </si>
  <si>
    <t>Sheeting Clip (10" Girts)</t>
  </si>
  <si>
    <t>Sheeting Clip (12" Girts)</t>
  </si>
  <si>
    <t>Girt Clip (2 Bolt, Flush 10" Flange)</t>
  </si>
  <si>
    <t>Girt Clip (2 Bolt, Flush 12" Flange)</t>
  </si>
  <si>
    <t>Girt Clip (4 Bolt, Flush 10" Flange)</t>
  </si>
  <si>
    <t>Girt Clip (4 Bolt, Flush 12" Flange)</t>
  </si>
  <si>
    <t>Purlin And Girt Clip (12" By-Pass)</t>
  </si>
  <si>
    <t>Girt Clip (10" Jamb)</t>
  </si>
  <si>
    <t>Girt Clip (12" Jamb)</t>
  </si>
  <si>
    <t>Liner Flange Brace Clip (12" Members)</t>
  </si>
  <si>
    <t>Ridge Tie Clip (8" Purlins)</t>
  </si>
  <si>
    <t>Ridge Tie Clip (10" Purlins)</t>
  </si>
  <si>
    <t>Ridge Tie Clip (12" Purlins)</t>
  </si>
  <si>
    <t>Column Clip For Hot-Rolled and Double "C" E.W. Columns (1'-2" Set Back)</t>
  </si>
  <si>
    <t>Girt Clip (Bolted Buildings)</t>
  </si>
  <si>
    <t>Purlin Clip (Bolted Buildings)</t>
  </si>
  <si>
    <t>E.W. Base Clip (Bolted Buildings)</t>
  </si>
  <si>
    <t>M.F. Base Clip (Bolted Buildings)</t>
  </si>
  <si>
    <t>Girt To Jamb Clip, Bolted (Components)</t>
  </si>
  <si>
    <t>Jamb To Eave Strut Clip, Bolted (Components)</t>
  </si>
  <si>
    <t>Jamb Base Clip (8" Member)(Components)</t>
  </si>
  <si>
    <t>Header To Jamb Clip (8" Member)(Components)</t>
  </si>
  <si>
    <t>Column Clip (2 Bolt Conn.)</t>
  </si>
  <si>
    <t>Door Leaf Jamb To Door Clip (Slide Door)</t>
  </si>
  <si>
    <t>Slide Door Trolley Back-Up Plate</t>
  </si>
  <si>
    <t xml:space="preserve">Welded Clip </t>
  </si>
  <si>
    <t>Corner Column Girt Clip (8" By-Pass)</t>
  </si>
  <si>
    <t>Corner Column Girt Clip (10" By-Pass)</t>
  </si>
  <si>
    <t>Corner Column Girt Clip (12" By-Pass)</t>
  </si>
  <si>
    <t>E.W 8" &amp; 12" Girt Clip ( For Bypass E.W.)</t>
  </si>
  <si>
    <t>E.W. 10" Girt Clip ( For By-Pass E.W.)</t>
  </si>
  <si>
    <t>Column Clip (2 Bolt Conn.)Below Main Frame</t>
  </si>
  <si>
    <t>M.F. Corner Column Girt Clip 8" S.W. Girt/ 8" E.W. Girt</t>
  </si>
  <si>
    <t>DJE8</t>
  </si>
  <si>
    <t>Walkdoor Jamb Extension</t>
  </si>
  <si>
    <t>DJE10</t>
  </si>
  <si>
    <t>DJE12</t>
  </si>
  <si>
    <t>M.F. Corner Column Girt Clip 8" S.W. Girt/ 10" E.W. Girt</t>
  </si>
  <si>
    <t>M.F. Corner Column Girt Clip 10" S.W. Girt/ 8" E.W. Girt</t>
  </si>
  <si>
    <t>CL-100</t>
  </si>
  <si>
    <t>Header to Jamb Clip</t>
  </si>
  <si>
    <t>CL-101</t>
  </si>
  <si>
    <t>Jamb to Eave Strut Clip (8" Jambs) (RS &lt;= 1:12)</t>
  </si>
  <si>
    <t>CL-102</t>
  </si>
  <si>
    <t>Header to Jamb Clip w/ 7'-4" Girt</t>
  </si>
  <si>
    <t>CL-103</t>
  </si>
  <si>
    <t>Girt / Jamb Clip</t>
  </si>
  <si>
    <t>CL-104</t>
  </si>
  <si>
    <t xml:space="preserve">Jamb Base Clip </t>
  </si>
  <si>
    <t>CL-105</t>
  </si>
  <si>
    <t>FL-800</t>
  </si>
  <si>
    <t>Corner Trim (RW9 Panel)</t>
  </si>
  <si>
    <t>FL-803</t>
  </si>
  <si>
    <t>Inside Corner Trim (RW9 Panel)</t>
  </si>
  <si>
    <t>FL-805</t>
  </si>
  <si>
    <t>Head Trim (RW9 Panel)</t>
  </si>
  <si>
    <t>FL-810</t>
  </si>
  <si>
    <t>Jamb Trim (RW9 Panel)</t>
  </si>
  <si>
    <t>FL-811</t>
  </si>
  <si>
    <t>FL-815</t>
  </si>
  <si>
    <t>Support Trim (RW9 Panel)</t>
  </si>
  <si>
    <t>FL-820</t>
  </si>
  <si>
    <t>Corner Trim - Open Wall (RW9 Panel)</t>
  </si>
  <si>
    <t>Jamb to Eave Strut Clip (10" Jambs) (RS &lt;= 1:12)</t>
  </si>
  <si>
    <t>CL-106</t>
  </si>
  <si>
    <t>Jamb to Eave Strut Clip (12" Jambs) (RS &lt;= 1:12)</t>
  </si>
  <si>
    <t>Purlin And Girt Clip (8" By-Pass)</t>
  </si>
  <si>
    <t>Flange Brace Clip</t>
  </si>
  <si>
    <t>Girt Clip (Flush)</t>
  </si>
  <si>
    <t>Girt Clip (8" Jamb)</t>
  </si>
  <si>
    <t>Sheeting Clip</t>
  </si>
  <si>
    <t>Header Clip</t>
  </si>
  <si>
    <t>Galv. Clips</t>
  </si>
  <si>
    <t>M.F. Corner Column Girt Clip 10" S.W. Girt/ 10" E.W. Girt</t>
  </si>
  <si>
    <t>Rotated Corner Column to CF Rafter</t>
  </si>
  <si>
    <t>Purlin Clip (8" Member)</t>
  </si>
  <si>
    <t>Purlin Clip (10" Member)</t>
  </si>
  <si>
    <t>Purlin Clip (12" Member)</t>
  </si>
  <si>
    <t>Girt Clip</t>
  </si>
  <si>
    <t>SSRHDW</t>
  </si>
  <si>
    <t>RSA238</t>
  </si>
  <si>
    <t>VSGC1</t>
  </si>
  <si>
    <t>CS324</t>
  </si>
  <si>
    <t>EP038</t>
  </si>
  <si>
    <t>EP138</t>
  </si>
  <si>
    <t>RSA338</t>
  </si>
  <si>
    <t>RSA438</t>
  </si>
  <si>
    <t>BUP216</t>
  </si>
  <si>
    <t>BUP324</t>
  </si>
  <si>
    <t>OSC324</t>
  </si>
  <si>
    <t>OSC216</t>
  </si>
  <si>
    <t>ISC324</t>
  </si>
  <si>
    <t>FC461</t>
  </si>
  <si>
    <t>FC462</t>
  </si>
  <si>
    <t>FC463</t>
  </si>
  <si>
    <t>MPS602S</t>
  </si>
  <si>
    <t>MPS603S</t>
  </si>
  <si>
    <t>FC10203</t>
  </si>
  <si>
    <t>FC10213</t>
  </si>
  <si>
    <t>MC1203</t>
  </si>
  <si>
    <t>MC1213</t>
  </si>
  <si>
    <t>VS-216SG</t>
  </si>
  <si>
    <t>VS-216IG</t>
  </si>
  <si>
    <t>TS-324IG</t>
  </si>
  <si>
    <t>TS-324SG</t>
  </si>
  <si>
    <t>Gutter Clip - Oversized Gutter (VS-216)</t>
  </si>
  <si>
    <t>Seaming Guide (VS-216)</t>
  </si>
  <si>
    <t>Installation Guide (VS-216)</t>
  </si>
  <si>
    <t>Seaming Guide (TS-324)</t>
  </si>
  <si>
    <t>Installation Guide (TS-324)</t>
  </si>
  <si>
    <t>Outside Closure (TS-324)</t>
  </si>
  <si>
    <t>Outside Closure (VS-216)</t>
  </si>
  <si>
    <t>Low Floating Clip (TS-324)</t>
  </si>
  <si>
    <t>High Floating Clip (TS-324)</t>
  </si>
  <si>
    <t>Low Floating Clip (VS-216)</t>
  </si>
  <si>
    <t>High Floating Clip (VS-216)</t>
  </si>
  <si>
    <t>Inside Closure (TS-324)</t>
  </si>
  <si>
    <t>Utility Clip (TS-324)</t>
  </si>
  <si>
    <t>Low Fixed Clip (TS-324)</t>
  </si>
  <si>
    <t>High Fixed Clip (TS-324)</t>
  </si>
  <si>
    <t>Low Fixed Clip (VS-216)</t>
  </si>
  <si>
    <t>High Fixed Clip (VS-216)</t>
  </si>
  <si>
    <t>Eave Plate</t>
  </si>
  <si>
    <t>Cinch Strap (TS-324)</t>
  </si>
  <si>
    <t>Back-Up Plate (TS-324)</t>
  </si>
  <si>
    <t>Back-Up Plate (VS-216)</t>
  </si>
  <si>
    <t>Rake Trim Mitered Rt (PBU Panel)</t>
  </si>
  <si>
    <t>Rake Trim Mitered Lt (PBU Panel)</t>
  </si>
  <si>
    <t>Rake Trim Mitered Lt (PBR Panel)</t>
  </si>
  <si>
    <t>Rake Trim Mitered Rt (PBR Panel)</t>
  </si>
  <si>
    <t>High Side Eave Trim Mitered Lt (PBR Panel)</t>
  </si>
  <si>
    <t>High Side End Cap Rt (PBR Panel)</t>
  </si>
  <si>
    <t>High Side End Cap Lt (PBR Panel)</t>
  </si>
  <si>
    <t>Low Side Eave Trim Mitered Rt (PBR Panel)</t>
  </si>
  <si>
    <t>Colonial Red (Kynar)</t>
  </si>
  <si>
    <t>Low Side Eave Trim Mitered Lt (PBR Panel)</t>
  </si>
  <si>
    <t>Low Side End Cap Rt (PBR Panel)</t>
  </si>
  <si>
    <t>Low Side End Cap Lt (PBR Panel)</t>
  </si>
  <si>
    <t>Eave Gutter Mitered Rt (PBR Panel)</t>
  </si>
  <si>
    <t>Eave Gutter Mitered Lt (PBR Panel)</t>
  </si>
  <si>
    <t>Gutter End Cap Rt (PBR Panel)</t>
  </si>
  <si>
    <t>Gutter End Cap Lt (PBR Panel)</t>
  </si>
  <si>
    <t>Eave Gutter Mitered Rt (PBU Panel)</t>
  </si>
  <si>
    <t>Eave Gutter Mitered Lt (PBU Panel)</t>
  </si>
  <si>
    <t>Low Side End Cap Lt (TS-324)</t>
  </si>
  <si>
    <t>Low Side End Cap Rt (TS-324)</t>
  </si>
  <si>
    <t>High Side End Cap Lt (TS-324)</t>
  </si>
  <si>
    <t>High Side End Cap Rt (TS-324)</t>
  </si>
  <si>
    <t>High Side Eave Trim Mitered Lt (TS-324)</t>
  </si>
  <si>
    <t>High Side Eave Trim Mitered Rt (TS-324)</t>
  </si>
  <si>
    <t>Rake Trim Mitered Lt (SSR Roof)</t>
  </si>
  <si>
    <t>Rake Trim Mitered Rt (SSR Roof)</t>
  </si>
  <si>
    <t>Eave Gutter End Cap Lt (TS-324)</t>
  </si>
  <si>
    <t>Eave Gutter End Cap Rt (TS-324)</t>
  </si>
  <si>
    <t>Eave Gutter Mitered Lt (TS-324)</t>
  </si>
  <si>
    <t>Eave Gutter Mitered Rt (TS-324)</t>
  </si>
  <si>
    <t>Shadow Rake Trim Mitered Lt (PBR Panel)</t>
  </si>
  <si>
    <t>Shadow Rake Trim Mitered Rt (PBR Panel)</t>
  </si>
  <si>
    <t>Northern High Eave End Cap Lt (VS-216)</t>
  </si>
  <si>
    <t>Northern High Eave End Cap Rt (VS-216)</t>
  </si>
  <si>
    <t>Northern 10" High Eave Trim Mitered Lt (VS-216)</t>
  </si>
  <si>
    <t>Northern 10" High Eave Trim Mitered Rt (VS-216)</t>
  </si>
  <si>
    <t>Northern 7 1/4" High Eave Trim Mitered Lt (VS-216)</t>
  </si>
  <si>
    <t>Northern 7 1/4" High Eave Trim Mitered Rt (VS-216)</t>
  </si>
  <si>
    <t>Northern 10" Rake Trim Mitered Lt (VS-216)</t>
  </si>
  <si>
    <t>Northern 10" Rake Trim Mitered Rt (VS-216)</t>
  </si>
  <si>
    <t>Northern 7 1/4" Rake Trim Mitered Lt (VS-216)</t>
  </si>
  <si>
    <t>Northern 7 1/4" Rake Trim Mitered Rt (VS-216)</t>
  </si>
  <si>
    <t>Northern 7 1/4" High Eave End Cap Lt (TS-324)</t>
  </si>
  <si>
    <t>Northern 7 1/4" High Eave End Cap Rt (TS-324)</t>
  </si>
  <si>
    <t>Northern 7 1/4" High Eave Trim Mitered Lt (TS-324)</t>
  </si>
  <si>
    <t>Northern 7 1/4" High Eave Trim Mitered Rt (TS-324)</t>
  </si>
  <si>
    <t>Northern 7 1/4" Rake Trim Mitered Lt (TS-324)</t>
  </si>
  <si>
    <t>Northern 7 1/4" Rake Trim Mitered Rt (TS-324)</t>
  </si>
  <si>
    <t>Northern High Eave End Cap Lt (TS-324)</t>
  </si>
  <si>
    <t>Northern High Eave End Cap Rt (TS-324)</t>
  </si>
  <si>
    <t>Northern 10" High Eave Trim Mitered Lt (TS-324)</t>
  </si>
  <si>
    <t>Northern 10" High Eave Trim Mitered Rt (TS-324)</t>
  </si>
  <si>
    <t>Northern 10" Rake Trim Mitered Lt (TS-324)</t>
  </si>
  <si>
    <t>Northern 10" Rake Trim Mitered Rt (TS-324)</t>
  </si>
  <si>
    <t>Northern 10" Rake End Cap Lt (PBR Panel)</t>
  </si>
  <si>
    <t>Northern 10" Rake End Cap Rt (PBR Panel)</t>
  </si>
  <si>
    <t>Northern 10" Rake Trim Mitered Lt (PBR Panel)</t>
  </si>
  <si>
    <t>Northern 10" Rake Trim Mitered Rt (PBR Panel)</t>
  </si>
  <si>
    <t>Northern 7 1/4" Rake Trim Mitered Lt (PBR Panel)</t>
  </si>
  <si>
    <t>Northern 7 1/4" Rake Trim Mitered Rt (PBR Panel)</t>
  </si>
  <si>
    <t>Northern 10" High Eave End Cap Lt</t>
  </si>
  <si>
    <t>Northern 10" High Eave End Cap Rt</t>
  </si>
  <si>
    <t>Northern 7 1/4" High Eave End Cap Lt</t>
  </si>
  <si>
    <t>Northern 7 1/4" High Eave End Cap Rt</t>
  </si>
  <si>
    <t>Northern 10" High Eave Trim Mitered Lt (PBR)</t>
  </si>
  <si>
    <t>Northern 10" High Eave Trim Mitered Rt (PBR)</t>
  </si>
  <si>
    <t>Northern 7 1/4" High Eave Trim Mitered Lt</t>
  </si>
  <si>
    <t>Northern 7 1/4" High Eave Trim Mitered Rt</t>
  </si>
  <si>
    <t>Northern 10" Gutter End Cap Lt</t>
  </si>
  <si>
    <t>Northern 10" Gutter End Cap Rt</t>
  </si>
  <si>
    <t>Northern 10" Gutter Mitered Lt</t>
  </si>
  <si>
    <t>Northern 10" Gutter Mitered Rt</t>
  </si>
  <si>
    <t>Northern 8" Gutter End Cap Lt</t>
  </si>
  <si>
    <t>Northern 8" Gutter End Cap Rt</t>
  </si>
  <si>
    <t>Northern 8" Gutter Mitered Lt</t>
  </si>
  <si>
    <t>Northern 8" Gutter Mitered Rt</t>
  </si>
  <si>
    <t>Northern 7 1/4" Gutter End Cap Lt</t>
  </si>
  <si>
    <t>Northern 7 1/4" Gutter End Cap Rt</t>
  </si>
  <si>
    <t>Northern 7 1/4" Gutter Mitered Lt</t>
  </si>
  <si>
    <t>Northern 7 1/4" Gutter Mitered Rt</t>
  </si>
  <si>
    <t>COLD FORM MEMBERS (ZEE)</t>
  </si>
  <si>
    <t>Eave Gutter End Cap Rt (PBU Panel)</t>
  </si>
  <si>
    <t>Eave Gutter End Cap Lt (PBU Panel)</t>
  </si>
  <si>
    <t>SWPanel</t>
  </si>
  <si>
    <t>26 Ga. PBR Sidewall Panel</t>
  </si>
  <si>
    <t>26 Ga. Rev-PBR Sidewall Panel</t>
  </si>
  <si>
    <t>26 Ga. PBU Sidewall Panel</t>
  </si>
  <si>
    <t>26 Ga. Rev-PBU Sidewall Panel</t>
  </si>
  <si>
    <t>26 Ga. RW9 Sidewall Panel</t>
  </si>
  <si>
    <t>24 Ga. PBR Sidewall Panel</t>
  </si>
  <si>
    <t>24 Ga. Rev-PBR Sidewall Panel</t>
  </si>
  <si>
    <t>24 Ga. PBU Sidewall Panel</t>
  </si>
  <si>
    <t>24 Ga. Rev-PBU Sidewall Panel</t>
  </si>
  <si>
    <t>24 Ga. RW9 Sidewall Panel</t>
  </si>
  <si>
    <t>EWPanel</t>
  </si>
  <si>
    <t>26 Ga. PBR Endwall Panel</t>
  </si>
  <si>
    <t>26 Ga. Rev-PBR Endwall Panel</t>
  </si>
  <si>
    <t>26 Ga. PBU Endwall Panel</t>
  </si>
  <si>
    <t>26 Ga. Rev-PBU Endwall Panel</t>
  </si>
  <si>
    <t>26 Ga. RW9 Endwall Panel</t>
  </si>
  <si>
    <t>24 Ga. PBR Endwall Panel</t>
  </si>
  <si>
    <t>FL-188</t>
  </si>
  <si>
    <t>FL-188 R</t>
  </si>
  <si>
    <t>FL-188 L</t>
  </si>
  <si>
    <t>24 Ga. Rev-PBR Endwall Panel</t>
  </si>
  <si>
    <t>24 Ga. PBU Endwall Panel</t>
  </si>
  <si>
    <t>24 Ga. Rev-PBU Endwall Panel</t>
  </si>
  <si>
    <t>24 Ga. RW9 Endwall Panel</t>
  </si>
  <si>
    <t>PBR 5'-4" Insulated Wall Light</t>
  </si>
  <si>
    <t>PBR 5'-4"  Wall Light</t>
  </si>
  <si>
    <t>Roof</t>
  </si>
  <si>
    <t>26 Ga. PBR Roof Panel</t>
  </si>
  <si>
    <t>26 Ga. PBU Roof Panel</t>
  </si>
  <si>
    <t>24 Ga. PBR Roof Panel</t>
  </si>
  <si>
    <t>24 Ga. PBU Roof Panel</t>
  </si>
  <si>
    <t>PBR 10'-8" Insulated Skylight</t>
  </si>
  <si>
    <t>PBR 10'-8"  Skylight</t>
  </si>
  <si>
    <t>26 Ga. PBR Ridge Cap</t>
  </si>
  <si>
    <t>26 Ga. PBU Ridge Cap</t>
  </si>
  <si>
    <t>24 Ga. PBR Ridge Cap</t>
  </si>
  <si>
    <t>24 Ga. PBU Ridge Cap</t>
  </si>
  <si>
    <t>SSR</t>
  </si>
  <si>
    <t>24 Ga. VS-216 Roof Panel</t>
  </si>
  <si>
    <t>24 Ga. TS-324 Roof Panel</t>
  </si>
  <si>
    <t>22 Ga. TS-324 Roof Panel</t>
  </si>
  <si>
    <t>22 Ga. VS-216 Roof Panel</t>
  </si>
  <si>
    <t>Panels</t>
  </si>
  <si>
    <t>26 Ga. PBR Panel</t>
  </si>
  <si>
    <t>FL-77</t>
  </si>
  <si>
    <t>FL-149A</t>
  </si>
  <si>
    <t>FL-149B</t>
  </si>
  <si>
    <t>FL-149C</t>
  </si>
  <si>
    <t>FL-149D</t>
  </si>
  <si>
    <t>FL-149E</t>
  </si>
  <si>
    <t>7 1/4" Northern Style Expansion Peak Box (TS-324)</t>
  </si>
  <si>
    <t>FL-203D</t>
  </si>
  <si>
    <t>Peak Box 3:12 (SSR Roof)</t>
  </si>
  <si>
    <t>FL-215</t>
  </si>
  <si>
    <t>FL-102A</t>
  </si>
  <si>
    <t>FL-103A</t>
  </si>
  <si>
    <t>26 Ga. Rev-PBR Panel</t>
  </si>
  <si>
    <t>26 Ga. PBU Panel</t>
  </si>
  <si>
    <t>26 Ga. Rev-PBU Panel</t>
  </si>
  <si>
    <t>26 Ga. RW9 Panel</t>
  </si>
  <si>
    <t>24 Ga. PBR Panel</t>
  </si>
  <si>
    <t>24 Ga. Rev-PBR Panel</t>
  </si>
  <si>
    <t>24 Ga. PBU Panel</t>
  </si>
  <si>
    <t>24 Ga. Rev-PBU Panel</t>
  </si>
  <si>
    <t>24 Ga. RW9 Panel</t>
  </si>
  <si>
    <t>DRAWING #</t>
  </si>
  <si>
    <t>ISSUE DATE</t>
  </si>
  <si>
    <t>REVISION NUMBER</t>
  </si>
  <si>
    <t>BLDG DESCRIP.</t>
  </si>
  <si>
    <t>REVISION DATE</t>
  </si>
  <si>
    <t>REVISION BY</t>
  </si>
  <si>
    <t>SHIPPER NUMBER</t>
  </si>
  <si>
    <t>MISCELLANEOUS ACCESSORIES</t>
  </si>
  <si>
    <t>1"</t>
  </si>
  <si>
    <t>1 1/2"</t>
  </si>
  <si>
    <t>1 1/4"</t>
  </si>
  <si>
    <t>2"</t>
  </si>
  <si>
    <t>7/8"</t>
  </si>
  <si>
    <t>3/16"</t>
  </si>
  <si>
    <t>1 3/4"</t>
  </si>
  <si>
    <t>2 1/4"</t>
  </si>
  <si>
    <t>2 1/2"</t>
  </si>
  <si>
    <t>2 3/4"</t>
  </si>
  <si>
    <t>3"</t>
  </si>
  <si>
    <t>3 1/4"</t>
  </si>
  <si>
    <t>3 1/2"</t>
  </si>
  <si>
    <t>3 3/4"</t>
  </si>
  <si>
    <t>4"</t>
  </si>
  <si>
    <t>4 1/2"</t>
  </si>
  <si>
    <t>3070M Knock Down Door</t>
  </si>
  <si>
    <t>3070M Insulated KD Door</t>
  </si>
  <si>
    <t>3070M Pre-Assembled Door</t>
  </si>
  <si>
    <t>4070M Knock Down Door</t>
  </si>
  <si>
    <t>4070M Insulated KD Door</t>
  </si>
  <si>
    <t>4070M Pre-Assembled Door</t>
  </si>
  <si>
    <t>6070M KD Door-2 Active</t>
  </si>
  <si>
    <t>Wind Rated</t>
  </si>
  <si>
    <t>Not Wind Rated</t>
  </si>
  <si>
    <t>Knob Lockset</t>
  </si>
  <si>
    <t>Lever Lockset-Heavy Duty</t>
  </si>
  <si>
    <t>Mortise Lockset w/ Knob</t>
  </si>
  <si>
    <t>Mortise Lockset w/ Lever</t>
  </si>
  <si>
    <t>Mortise Panic w/ Knob</t>
  </si>
  <si>
    <t>Panic Device w/ Knob</t>
  </si>
  <si>
    <t>Panic Device w/ Lever</t>
  </si>
  <si>
    <t>Mortise Panic w/ Lever</t>
  </si>
  <si>
    <t>L.H. Inward</t>
  </si>
  <si>
    <t>L.H. Outward</t>
  </si>
  <si>
    <t>R.H. Inward</t>
  </si>
  <si>
    <t>R.H. Outward</t>
  </si>
  <si>
    <t>Standard</t>
  </si>
  <si>
    <t>Heavy Duty</t>
  </si>
  <si>
    <t>Bronze Finish Frame</t>
  </si>
  <si>
    <t>Mill Finish Frame</t>
  </si>
  <si>
    <t>FL-241</t>
  </si>
  <si>
    <t>High Eave Space Trim (8" Eave Strut)</t>
  </si>
  <si>
    <t>With Fin Trim</t>
  </si>
  <si>
    <t>Without Fin Trim</t>
  </si>
  <si>
    <t>No Handle</t>
  </si>
  <si>
    <t>With Handle</t>
  </si>
  <si>
    <t>ROUND VENTS</t>
  </si>
  <si>
    <t>20" Dia.Ridge Mount Vent w/ Screen &amp; Damper</t>
  </si>
  <si>
    <t>20" Dia.Slope Mount Vent w/ Screen &amp; Damper</t>
  </si>
  <si>
    <t>24" Dia.Ridge Mount Vent w/ Screen &amp; Damper</t>
  </si>
  <si>
    <t>24" Dia.Slope Mount Vent w/ Screen &amp; Damper</t>
  </si>
  <si>
    <t>BASE</t>
  </si>
  <si>
    <t>Base</t>
  </si>
  <si>
    <t>Slope Mount</t>
  </si>
  <si>
    <t>MASTICS</t>
  </si>
  <si>
    <t>GLASS</t>
  </si>
  <si>
    <t>WindowMark</t>
  </si>
  <si>
    <t>H3030CMN</t>
  </si>
  <si>
    <t>H4030CMN</t>
  </si>
  <si>
    <t>H6030CMN</t>
  </si>
  <si>
    <t>H3030CBN</t>
  </si>
  <si>
    <t>H6030CBN</t>
  </si>
  <si>
    <t>H4030CBN</t>
  </si>
  <si>
    <t>H3030BBN</t>
  </si>
  <si>
    <t>H6030BBN</t>
  </si>
  <si>
    <t>H4030BBN</t>
  </si>
  <si>
    <t>H3030CMI</t>
  </si>
  <si>
    <t>H4030CMI</t>
  </si>
  <si>
    <t>H6030CMI</t>
  </si>
  <si>
    <t>H3030CBI</t>
  </si>
  <si>
    <t>H4030CBI</t>
  </si>
  <si>
    <t>H6030CBI</t>
  </si>
  <si>
    <t>H3030BBI</t>
  </si>
  <si>
    <t>H4030BBI</t>
  </si>
  <si>
    <t>H6030BBI</t>
  </si>
  <si>
    <t>SL2070BN</t>
  </si>
  <si>
    <t>SL2070BI</t>
  </si>
  <si>
    <t>WindowGlass</t>
  </si>
  <si>
    <t>FrameColor</t>
  </si>
  <si>
    <t>WindowsDesc</t>
  </si>
  <si>
    <t>DWG</t>
  </si>
  <si>
    <t>FL-24 L</t>
  </si>
  <si>
    <t>FL-34 L</t>
  </si>
  <si>
    <t>FL-35 R</t>
  </si>
  <si>
    <t>FL-35 L</t>
  </si>
  <si>
    <t>High Side Eave Trim Mitered Rt (PBR Panel)</t>
  </si>
  <si>
    <t>Shadow Gutter Mitered Rt (PBR Panel)</t>
  </si>
  <si>
    <t>Shadow Gutter Mitered Lt (PBR Panel)</t>
  </si>
  <si>
    <t>Northern 7 1/4" Rake Trim to Eave Rt (PBR Panel)</t>
  </si>
  <si>
    <t>Gray Glass</t>
  </si>
  <si>
    <t>TS-324 Insulated Skylight</t>
  </si>
  <si>
    <t>TS-324 Skylight</t>
  </si>
  <si>
    <t>VS-216 Insulated Skylight</t>
  </si>
  <si>
    <t>VS-216 Skylight</t>
  </si>
  <si>
    <t>SSRSkylight</t>
  </si>
  <si>
    <t>Northern 7 1/4" Rake Trim to Eave Lt (PBR Panel)</t>
  </si>
  <si>
    <t>Northern 10" Rake Trim to Eave Rt (PBR Panel)</t>
  </si>
  <si>
    <t>Northern 10" Rake Trim to Eave Lt (PBR Panel)</t>
  </si>
  <si>
    <t>C8X11.5</t>
  </si>
  <si>
    <t>C8X13.75</t>
  </si>
  <si>
    <t>C8X18.75</t>
  </si>
  <si>
    <t>C10X15.3</t>
  </si>
  <si>
    <t>C10X20</t>
  </si>
  <si>
    <t>C10X25</t>
  </si>
  <si>
    <t>C10X30</t>
  </si>
  <si>
    <t>C12X20</t>
  </si>
  <si>
    <t>C12X25</t>
  </si>
  <si>
    <t>C12X30</t>
  </si>
  <si>
    <t>W8X10</t>
  </si>
  <si>
    <t>W8X13</t>
  </si>
  <si>
    <t>W8X15</t>
  </si>
  <si>
    <t>W8X18</t>
  </si>
  <si>
    <t>Corner Trim (PBR/A Panel)</t>
  </si>
  <si>
    <t>Starter Trim (A Panel)</t>
  </si>
  <si>
    <t>Jamb Trim (A/RVPBR Panel)</t>
  </si>
  <si>
    <t>Head Trim (A/PBR Panel)</t>
  </si>
  <si>
    <t>A Fin</t>
  </si>
  <si>
    <t>Wainscot Transition Trim (PBR/A Panel)</t>
  </si>
  <si>
    <t>26 Ga. A Panel</t>
  </si>
  <si>
    <t>26 Ga. A Endwall Panel</t>
  </si>
  <si>
    <t>24 Ga. A Panel</t>
  </si>
  <si>
    <t>24 Ga. A Endwall Panel</t>
  </si>
  <si>
    <t>26 Ga. A Sidewall Panel</t>
  </si>
  <si>
    <t>24 Ga. A Sidewall Panel</t>
  </si>
  <si>
    <t>26 Ga. U Panel</t>
  </si>
  <si>
    <t>26 Ga. R Panel</t>
  </si>
  <si>
    <t>26 Ga. R Endwall Panel</t>
  </si>
  <si>
    <t>26 Ga. U Endwall Panel</t>
  </si>
  <si>
    <t>26 Ga. R Sidewall Panel</t>
  </si>
  <si>
    <t>26 Ga. U Sidewall Panel</t>
  </si>
  <si>
    <t>W8X21</t>
  </si>
  <si>
    <t>W8X24</t>
  </si>
  <si>
    <t>W8X28</t>
  </si>
  <si>
    <t>W8X31</t>
  </si>
  <si>
    <t>W8X35</t>
  </si>
  <si>
    <t>W8X40</t>
  </si>
  <si>
    <t>W8X48</t>
  </si>
  <si>
    <t>W8X58</t>
  </si>
  <si>
    <t>W8X67</t>
  </si>
  <si>
    <t>W10X12</t>
  </si>
  <si>
    <t>W10X15</t>
  </si>
  <si>
    <t>W10X17</t>
  </si>
  <si>
    <t>W10X19</t>
  </si>
  <si>
    <t>W10X22</t>
  </si>
  <si>
    <t>W10X26</t>
  </si>
  <si>
    <t>W10X30</t>
  </si>
  <si>
    <t>W10X33</t>
  </si>
  <si>
    <t>W10X39</t>
  </si>
  <si>
    <t>W10X45</t>
  </si>
  <si>
    <t>W10X49</t>
  </si>
  <si>
    <t>W10X54</t>
  </si>
  <si>
    <t>W10X60</t>
  </si>
  <si>
    <t>W10X68</t>
  </si>
  <si>
    <t>W10X77</t>
  </si>
  <si>
    <t>W10X88</t>
  </si>
  <si>
    <t>W10X100</t>
  </si>
  <si>
    <t>W10X112</t>
  </si>
  <si>
    <t>W12X14</t>
  </si>
  <si>
    <t>W12X16</t>
  </si>
  <si>
    <t>W12X19</t>
  </si>
  <si>
    <t>W12X22</t>
  </si>
  <si>
    <t>W12X26</t>
  </si>
  <si>
    <t>W12X30</t>
  </si>
  <si>
    <t>W12X35</t>
  </si>
  <si>
    <t>W12X40</t>
  </si>
  <si>
    <t>W12X45</t>
  </si>
  <si>
    <t>W12X50</t>
  </si>
  <si>
    <t>W12X53</t>
  </si>
  <si>
    <t>W12X58</t>
  </si>
  <si>
    <t>W12X65</t>
  </si>
  <si>
    <t>W12X72</t>
  </si>
  <si>
    <t>W12X79</t>
  </si>
  <si>
    <t>W12X87</t>
  </si>
  <si>
    <t>W12X96</t>
  </si>
  <si>
    <t>W12X106</t>
  </si>
  <si>
    <t>W12X120</t>
  </si>
  <si>
    <t>W12X136</t>
  </si>
  <si>
    <t>W12X152</t>
  </si>
  <si>
    <t>W14X22</t>
  </si>
  <si>
    <t>W14X26</t>
  </si>
  <si>
    <t>W14X30</t>
  </si>
  <si>
    <t>W14X34</t>
  </si>
  <si>
    <t>W14X38</t>
  </si>
  <si>
    <t>W14X43</t>
  </si>
  <si>
    <t>W14X48</t>
  </si>
  <si>
    <t>W14X53</t>
  </si>
  <si>
    <t>W14X61</t>
  </si>
  <si>
    <t>W14X68</t>
  </si>
  <si>
    <t>W14X74</t>
  </si>
  <si>
    <t>W14X82</t>
  </si>
  <si>
    <t>W14X90</t>
  </si>
  <si>
    <t>W14X99</t>
  </si>
  <si>
    <t>W14X109</t>
  </si>
  <si>
    <t>W14X120</t>
  </si>
  <si>
    <t>W14X132</t>
  </si>
  <si>
    <t>W14X145</t>
  </si>
  <si>
    <t>W14X159</t>
  </si>
  <si>
    <t>W14X176</t>
  </si>
  <si>
    <t>W14X193</t>
  </si>
  <si>
    <t>W16X26</t>
  </si>
  <si>
    <t>W16X31</t>
  </si>
  <si>
    <t>W16X36</t>
  </si>
  <si>
    <t>W16X40</t>
  </si>
  <si>
    <t>W16X45</t>
  </si>
  <si>
    <t>W16X50</t>
  </si>
  <si>
    <t>W16X57</t>
  </si>
  <si>
    <t>W16X67</t>
  </si>
  <si>
    <t>W16X77</t>
  </si>
  <si>
    <t>W16X89</t>
  </si>
  <si>
    <t>W16X100</t>
  </si>
  <si>
    <t>W18X35</t>
  </si>
  <si>
    <t>W18X40</t>
  </si>
  <si>
    <t>W18X46</t>
  </si>
  <si>
    <t>W18X50</t>
  </si>
  <si>
    <t>W18X55</t>
  </si>
  <si>
    <t>W18X60</t>
  </si>
  <si>
    <t>W18X65</t>
  </si>
  <si>
    <t>W18X71</t>
  </si>
  <si>
    <t>W18X76</t>
  </si>
  <si>
    <t>W18X86</t>
  </si>
  <si>
    <t>W18X97</t>
  </si>
  <si>
    <t>W18X106</t>
  </si>
  <si>
    <t>W18X119</t>
  </si>
  <si>
    <t>W21X44</t>
  </si>
  <si>
    <t>W21X50</t>
  </si>
  <si>
    <t>W21X57</t>
  </si>
  <si>
    <t>W21X62</t>
  </si>
  <si>
    <t>W21X68</t>
  </si>
  <si>
    <t>W21X73</t>
  </si>
  <si>
    <t>W21X83</t>
  </si>
  <si>
    <t>W21X93</t>
  </si>
  <si>
    <t>W21X101</t>
  </si>
  <si>
    <t>W21X111</t>
  </si>
  <si>
    <t>FL-211 L</t>
  </si>
  <si>
    <t>Sculptured Low Side Eave Trim Mitered Lt (TS-324)</t>
  </si>
  <si>
    <t>FL-190</t>
  </si>
  <si>
    <t>FL-190 R</t>
  </si>
  <si>
    <t>FL-190 L</t>
  </si>
  <si>
    <t>FL-191 R</t>
  </si>
  <si>
    <t>FL-191 L</t>
  </si>
  <si>
    <t>Sculptured Low Side Eave Trim (VS-216)</t>
  </si>
  <si>
    <t>Sculptured Low Side Eave Trim Mitered Rt (VS-216)</t>
  </si>
  <si>
    <t>Sculptured Low Side Eave Trim Mitered Lt (VS-216)</t>
  </si>
  <si>
    <t>Low Side End Cap Rt (VS-216)</t>
  </si>
  <si>
    <t>Low Side End Cap Lt (VS-216)</t>
  </si>
  <si>
    <t>FL-211 R</t>
  </si>
  <si>
    <t>Sculptured Low Side Eave Trim Mitered Rt (TS-324)</t>
  </si>
  <si>
    <t>W21X122</t>
  </si>
  <si>
    <t>W21X132</t>
  </si>
  <si>
    <t>W21X147</t>
  </si>
  <si>
    <t>W24X55</t>
  </si>
  <si>
    <t>W24X62</t>
  </si>
  <si>
    <t>W24X68</t>
  </si>
  <si>
    <t>W24X76</t>
  </si>
  <si>
    <t>W24X84</t>
  </si>
  <si>
    <t>W24X94</t>
  </si>
  <si>
    <t>W24X104</t>
  </si>
  <si>
    <t>3030 Aluminum Horizontal Slide Window - Non-Insulated</t>
  </si>
  <si>
    <t>3030 Aluminum Horizontal Slide Window - Insulated</t>
  </si>
  <si>
    <t>4030 Aluminum Horizontal Slide Window - Non-Insulated</t>
  </si>
  <si>
    <t>4030 Aluminum Horizontal Slide Window - Insulated</t>
  </si>
  <si>
    <t>6030 Aluminum Horizontal Slide Window - Non-Insulated</t>
  </si>
  <si>
    <t>6030 Aluminum Horizontal Slide Window - Insulated</t>
  </si>
  <si>
    <t>W24X117</t>
  </si>
  <si>
    <t>W24X131</t>
  </si>
  <si>
    <t>W24X146</t>
  </si>
  <si>
    <t>W24X162</t>
  </si>
  <si>
    <t>W27X84</t>
  </si>
  <si>
    <t>W27X94</t>
  </si>
  <si>
    <t>W27X102</t>
  </si>
  <si>
    <t>W27X114</t>
  </si>
  <si>
    <t>W27X146</t>
  </si>
  <si>
    <t>W27X161</t>
  </si>
  <si>
    <t>W27X178</t>
  </si>
  <si>
    <t>W30X90</t>
  </si>
  <si>
    <t>W30X99</t>
  </si>
  <si>
    <t>W30X108</t>
  </si>
  <si>
    <t>W30X116</t>
  </si>
  <si>
    <t>W30X124</t>
  </si>
  <si>
    <t>W30X132</t>
  </si>
  <si>
    <t>STANDING SEAM SKYLIGHTS</t>
  </si>
  <si>
    <t>WINDOW</t>
  </si>
  <si>
    <t>W30X173</t>
  </si>
  <si>
    <t>W30X191</t>
  </si>
  <si>
    <t>W30X211</t>
  </si>
  <si>
    <t>W33X118</t>
  </si>
  <si>
    <t>W33X130</t>
  </si>
  <si>
    <t>W33X141</t>
  </si>
  <si>
    <t>W33X152</t>
  </si>
  <si>
    <t>W33X201</t>
  </si>
  <si>
    <t>W33X221</t>
  </si>
  <si>
    <t>3030 Aluminum Horiz. Slide Window - Non-Insulated</t>
  </si>
  <si>
    <t>3030 Aluminum Horiz. Slide Window - Insulated</t>
  </si>
  <si>
    <t>4030 Aluminum Horiz. Slide Window - Insulated</t>
  </si>
  <si>
    <t>6030 Aluminum Horiz. Slide Window - Insulated</t>
  </si>
  <si>
    <t>4030 Aluminum Horiz.Slide Window - Non-Insulated</t>
  </si>
  <si>
    <t>6030 Aluminum Horiz. Slide Window - Non-Insulated</t>
  </si>
  <si>
    <t>2070 Slim Line Window - Non-Insulated</t>
  </si>
  <si>
    <t>2070 Slim Line Window - Insulated</t>
  </si>
  <si>
    <t>W33X241</t>
  </si>
  <si>
    <t>W36X135</t>
  </si>
  <si>
    <t>W36X150</t>
  </si>
  <si>
    <t>W36X160</t>
  </si>
  <si>
    <t>W36X170</t>
  </si>
  <si>
    <t>W36X182</t>
  </si>
  <si>
    <t>W36X194</t>
  </si>
  <si>
    <t>W36X210</t>
  </si>
  <si>
    <t>W36X230</t>
  </si>
  <si>
    <t>W36X245</t>
  </si>
  <si>
    <t>W36X260</t>
  </si>
  <si>
    <t>BUYOUT ITEMS</t>
  </si>
  <si>
    <t>Peak Box (  Sign  )</t>
  </si>
  <si>
    <t>Standard Gutter (VS-216)</t>
  </si>
  <si>
    <t>Standard Gutter Mitered Rt (VS-216)</t>
  </si>
  <si>
    <t>Standard Gutter Mitered Lt (VS-216)</t>
  </si>
  <si>
    <t>Standard Gutter End Cap Rt (VS-216)</t>
  </si>
  <si>
    <t>1/4-14 x 1 1/2" Self Driller (No Washer)</t>
  </si>
  <si>
    <t>12X25C12</t>
  </si>
  <si>
    <t>12X25C14</t>
  </si>
  <si>
    <t>6X25C14</t>
  </si>
  <si>
    <t>6X25C16</t>
  </si>
  <si>
    <t>4X2C16</t>
  </si>
  <si>
    <t>4X2C14</t>
  </si>
  <si>
    <t>4X25C16</t>
  </si>
  <si>
    <t>4X25C14</t>
  </si>
  <si>
    <t>4X2Z16</t>
  </si>
  <si>
    <t>4X2Z14</t>
  </si>
  <si>
    <t>4X25Z16</t>
  </si>
  <si>
    <t>4X25Z14</t>
  </si>
  <si>
    <t>6X25Z16</t>
  </si>
  <si>
    <t>6X25Z14</t>
  </si>
  <si>
    <t>12X25Z14</t>
  </si>
  <si>
    <t>12X25Z12</t>
  </si>
  <si>
    <t>6E14</t>
  </si>
  <si>
    <t>6E16</t>
  </si>
  <si>
    <t>6E12</t>
  </si>
  <si>
    <t>4E16</t>
  </si>
  <si>
    <t>4E14</t>
  </si>
  <si>
    <t>Bone White (Kynar)</t>
  </si>
  <si>
    <t>Column Clip For Hot-Rolled and "C" E.W. Columns (1'-2" Set Back)</t>
  </si>
  <si>
    <t>CL-112</t>
  </si>
  <si>
    <t>CL-85</t>
  </si>
  <si>
    <t>CL-86</t>
  </si>
  <si>
    <t>CL-87</t>
  </si>
  <si>
    <t>CL-88</t>
  </si>
  <si>
    <t>Flange Brace Clip for Insulation</t>
  </si>
  <si>
    <t>Midnight Brz (Kynar)</t>
  </si>
  <si>
    <t>Medium Brz (Kynar)</t>
  </si>
  <si>
    <t>FP038</t>
  </si>
  <si>
    <t>Floating Eave Plate</t>
  </si>
  <si>
    <t>FP138</t>
  </si>
  <si>
    <t>#12 x 1 1/2" Tek 5</t>
  </si>
  <si>
    <t>#14 x 1 1/4"  (Long Life) w/O.D. Washer</t>
  </si>
  <si>
    <t>#14 x 7/8" LapTek  (Long Life) w/O.D. Washer</t>
  </si>
  <si>
    <t>Low Side Masonry Eave and Rake Trim</t>
  </si>
  <si>
    <t>NGS-1</t>
  </si>
  <si>
    <t>NGC-1</t>
  </si>
  <si>
    <t>Clip for Insulation with 8" Member</t>
  </si>
  <si>
    <t>Clip for Insulation with 10" Member</t>
  </si>
  <si>
    <t>Clip for Insulation with 12" Member</t>
  </si>
  <si>
    <t xml:space="preserve">     </t>
  </si>
  <si>
    <t xml:space="preserve">10X35C14 </t>
  </si>
  <si>
    <t xml:space="preserve">SA1      </t>
  </si>
  <si>
    <t xml:space="preserve">Sheeting Angle             </t>
  </si>
  <si>
    <t xml:space="preserve">4X2X16Ga </t>
  </si>
  <si>
    <t xml:space="preserve"> 20'- 0"                   </t>
  </si>
  <si>
    <t xml:space="preserve">SSL-10   </t>
  </si>
  <si>
    <t xml:space="preserve">      6"                   </t>
  </si>
  <si>
    <t xml:space="preserve">CL-5              </t>
  </si>
  <si>
    <t xml:space="preserve">Sheeting Clip                              </t>
  </si>
  <si>
    <t>Clip</t>
  </si>
  <si>
    <t xml:space="preserve">STRP1    </t>
  </si>
  <si>
    <t xml:space="preserve">Rolls of Strapping                  </t>
  </si>
  <si>
    <t xml:space="preserve">White             </t>
  </si>
  <si>
    <t xml:space="preserve">175'- 0"                    </t>
  </si>
  <si>
    <t>Wall Girt</t>
  </si>
  <si>
    <t>140G1</t>
  </si>
  <si>
    <t>S-S</t>
  </si>
  <si>
    <t>140G2</t>
  </si>
  <si>
    <t>S-G</t>
  </si>
  <si>
    <t>140G3</t>
  </si>
  <si>
    <t>140G4</t>
  </si>
  <si>
    <t>B-B</t>
  </si>
  <si>
    <t>140G5</t>
  </si>
  <si>
    <t>140G6</t>
  </si>
  <si>
    <t>G-S</t>
  </si>
  <si>
    <t>140G7</t>
  </si>
  <si>
    <t>140G8</t>
  </si>
  <si>
    <t>140G9</t>
  </si>
  <si>
    <t>140G10</t>
  </si>
  <si>
    <t>140G11</t>
  </si>
  <si>
    <t>140G12</t>
  </si>
  <si>
    <t>29'-11 1/2" "</t>
  </si>
  <si>
    <t>140G13</t>
  </si>
  <si>
    <t>140G14</t>
  </si>
  <si>
    <t>140G15</t>
  </si>
  <si>
    <t>140G16</t>
  </si>
  <si>
    <t>140G17</t>
  </si>
  <si>
    <t>140G18</t>
  </si>
  <si>
    <t>B-S</t>
  </si>
  <si>
    <t>140G19</t>
  </si>
  <si>
    <t>140G20</t>
  </si>
  <si>
    <t>140G21</t>
  </si>
  <si>
    <t>140G22</t>
  </si>
  <si>
    <t>S-B</t>
  </si>
  <si>
    <t>140G23</t>
  </si>
  <si>
    <t>140G24</t>
  </si>
  <si>
    <t>B-A</t>
  </si>
  <si>
    <t>140G25</t>
  </si>
  <si>
    <t>G-A</t>
  </si>
  <si>
    <t>140G26</t>
  </si>
  <si>
    <t>140G27</t>
  </si>
  <si>
    <t>140G28</t>
  </si>
  <si>
    <t>140G29</t>
  </si>
  <si>
    <t>140G30</t>
  </si>
  <si>
    <t>140P1</t>
  </si>
  <si>
    <t>Roof Purlin</t>
  </si>
  <si>
    <t>140P2</t>
  </si>
  <si>
    <t>140P3</t>
  </si>
  <si>
    <t>140P4</t>
  </si>
  <si>
    <t>140P5</t>
  </si>
  <si>
    <t>140P_EXT1</t>
  </si>
  <si>
    <t>140P_EXT2</t>
  </si>
  <si>
    <t>140P_EXT3</t>
  </si>
  <si>
    <t>Web=      22.1875"      57.75"      65.3125"</t>
  </si>
  <si>
    <t>Web=      22.1875"       57.75 66"</t>
  </si>
  <si>
    <t>Web=      12"       16"       78"       82"      89.5"      131.75"      197.75"       246"       253.5"       257.5"</t>
  </si>
  <si>
    <t>Web=      9.75"</t>
  </si>
  <si>
    <t>Web=      5.625"</t>
  </si>
  <si>
    <t>Web=      40.1875"       83.3125"</t>
  </si>
  <si>
    <t>Web=      264"       268"</t>
  </si>
  <si>
    <t>Web=      238"       264"       268"</t>
  </si>
  <si>
    <t>Web=      9.5"       13.5"      18.1875"       61.31252</t>
  </si>
  <si>
    <t>Web=      9.5"       13.5"      18.1875"       61.3125"</t>
  </si>
  <si>
    <t>Web=      9.5"       13.5"       39.5"</t>
  </si>
  <si>
    <t>Web=      41.5"       45.5"       48.125"       53.5"       55.5"       57.5"       61.5"       67.5"       71.5"       79.5"       83.5"       109.75"       181.75"       219.375"</t>
  </si>
  <si>
    <t>Web=      9.5"       11.5"      13.5"       17.5"      23.5"       27.5"       35.5"      39.5"       51.5"       63.75"      67.75"       75.25"       117.5"</t>
  </si>
  <si>
    <t>Web=      303.75"       307.75"</t>
  </si>
  <si>
    <t>403184_Secondary</t>
  </si>
  <si>
    <t>140DH1</t>
  </si>
  <si>
    <t>Frame Opening Header</t>
  </si>
  <si>
    <t>G-G</t>
  </si>
  <si>
    <t>140DJ1</t>
  </si>
  <si>
    <t>Framed Opening Jamb / Sub Jamb</t>
  </si>
  <si>
    <t>140DJ3</t>
  </si>
  <si>
    <t>140DJ6</t>
  </si>
  <si>
    <t>140DJ7</t>
  </si>
  <si>
    <t>140DJ8</t>
  </si>
  <si>
    <t>Web=      46.25"</t>
  </si>
  <si>
    <t>Web=      46.0625"</t>
  </si>
  <si>
    <t>Web=      46.25"        88.25"       124.25"       166.25"       169.3125"</t>
  </si>
  <si>
    <t>140ET1</t>
  </si>
  <si>
    <t>3.00 : 12</t>
  </si>
  <si>
    <t>N-R</t>
  </si>
  <si>
    <t>27'-5 1/2"</t>
  </si>
  <si>
    <t>IFlg=     3"      326.5"</t>
  </si>
  <si>
    <t>140ET2</t>
  </si>
  <si>
    <t>R-N</t>
  </si>
  <si>
    <t>140ET3</t>
  </si>
  <si>
    <t>??-N</t>
  </si>
  <si>
    <t>IFlg=     3"      10.75"     13.25"      326.5"</t>
  </si>
  <si>
    <t>140ET4</t>
  </si>
  <si>
    <t>N-??</t>
  </si>
  <si>
    <t>IFlg=     3"     316.25"     318.75"      326.5"</t>
  </si>
  <si>
    <t xml:space="preserve">Eave Strut (LSSS) </t>
  </si>
  <si>
    <t>140GH1</t>
  </si>
  <si>
    <t>140SA1</t>
  </si>
  <si>
    <t>140SA2</t>
  </si>
  <si>
    <t>140SA_EXT1</t>
  </si>
  <si>
    <t xml:space="preserve"> 10'- 0"                   </t>
  </si>
  <si>
    <t xml:space="preserve">Eave Strut Spacer  ( 3 : 12)        </t>
  </si>
  <si>
    <t>140SSL1</t>
  </si>
  <si>
    <t>3'-3 1/2"</t>
  </si>
  <si>
    <t>140CCF2</t>
  </si>
  <si>
    <t>140CCF4</t>
  </si>
  <si>
    <t>140CCF6</t>
  </si>
  <si>
    <t>140CCF7</t>
  </si>
  <si>
    <t>140CCF1</t>
  </si>
  <si>
    <t xml:space="preserve">Girt / Jamb Clip           </t>
  </si>
  <si>
    <t xml:space="preserve"> Pre-Galvanized </t>
  </si>
  <si>
    <t>CL103</t>
  </si>
  <si>
    <t>140CCF3</t>
  </si>
  <si>
    <t xml:space="preserve">Jamb Base Clip   </t>
  </si>
  <si>
    <t>CL104</t>
  </si>
  <si>
    <t>140CCF5</t>
  </si>
  <si>
    <t xml:space="preserve">Header to Jamb Clip   </t>
  </si>
  <si>
    <t>CL100</t>
  </si>
  <si>
    <t>140CCF_EXT1</t>
  </si>
  <si>
    <t>140CCF_EXT2</t>
  </si>
  <si>
    <t>140CCF_EXT3</t>
  </si>
  <si>
    <t>Web=   45.75"  295.75"  299.75"   303.75"       307.75"      315.75"      319.75"       323.75"       333.75"      345.75"       353.75"</t>
  </si>
  <si>
    <t>1'-7 11/16"</t>
  </si>
  <si>
    <t>5'-11 1/2"</t>
  </si>
  <si>
    <t>25'-1 1/2"</t>
  </si>
  <si>
    <t>1'-3 5/8"</t>
  </si>
  <si>
    <t>1'-11 5/8"</t>
  </si>
  <si>
    <t>30'-7 1/2"</t>
  </si>
  <si>
    <t>Web=   29.75   33.75"  323.50"  327.50"  353.50"  357.50"</t>
  </si>
  <si>
    <t>13'-11 1/2"</t>
  </si>
  <si>
    <t>7'-1 11/16"</t>
  </si>
  <si>
    <t>17'-1 3/4"</t>
  </si>
  <si>
    <t>5'-0 7/16"</t>
  </si>
  <si>
    <t>1'-6 15/16"</t>
  </si>
  <si>
    <t>140BC1</t>
  </si>
  <si>
    <t>140BC2</t>
  </si>
  <si>
    <t>140BC3</t>
  </si>
  <si>
    <t>140BC4</t>
  </si>
  <si>
    <t>140BC5</t>
  </si>
  <si>
    <t>140BC6</t>
  </si>
  <si>
    <t>140BC7</t>
  </si>
  <si>
    <t>140BC8</t>
  </si>
  <si>
    <t>140BC9</t>
  </si>
  <si>
    <t>140BC_EXT1</t>
  </si>
  <si>
    <t xml:space="preserve">Web=      10.00"  14.00"    40.00"        44.00"   </t>
  </si>
  <si>
    <t>22'-9 11/16"</t>
  </si>
  <si>
    <t>29'-11 1/2"</t>
  </si>
  <si>
    <t>3'-1 11/16"</t>
  </si>
  <si>
    <t>23'-1 1/2"</t>
  </si>
  <si>
    <t>17'-9 3/4"</t>
  </si>
  <si>
    <t xml:space="preserve">23'-1 1/2" </t>
  </si>
  <si>
    <t xml:space="preserve">1'-3 1/4" </t>
  </si>
  <si>
    <t>21'-1 1/2"</t>
  </si>
  <si>
    <t>17'-11 1/4"</t>
  </si>
  <si>
    <t>26'-11 1/2"</t>
  </si>
  <si>
    <t>40'-0"</t>
  </si>
  <si>
    <t>Web=      13.75"       21.75"       33.75"       43.75"       47.75"      51.75"       59.75"       63.75"       67.75"  71.75"  321.75"  333.75"  337.75"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</si>
</sst>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mmmm\ d\,\ yyyy"/>
    <numFmt numFmtId="179" formatCode="m/d/yyyy;@"/>
  </numFmts>
  <fonts count="42" x14ac:knownFonts="1">
    <font>
      <sz val="10"/>
      <name val="Arial"/>
    </font>
    <font>
      <sz val="10"/>
      <name val="Arial"/>
    </font>
    <font>
      <b/>
      <sz val="12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i/>
      <sz val="12"/>
      <name val="Times New Roman"/>
      <family val="1"/>
    </font>
    <font>
      <sz val="10"/>
      <name val="Arial"/>
      <family val="2"/>
    </font>
    <font>
      <b/>
      <sz val="10"/>
      <name val="Stylus BT"/>
      <family val="2"/>
    </font>
    <font>
      <sz val="10"/>
      <name val="Stylus BT"/>
      <family val="2"/>
    </font>
    <font>
      <b/>
      <sz val="12"/>
      <name val="Stylus BT"/>
      <family val="2"/>
    </font>
    <font>
      <i/>
      <sz val="12"/>
      <name val="Stylus BT"/>
      <family val="2"/>
    </font>
    <font>
      <b/>
      <sz val="36"/>
      <name val="Stylus BT"/>
      <family val="2"/>
    </font>
    <font>
      <b/>
      <sz val="12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18"/>
      <name val="Arial"/>
      <family val="2"/>
    </font>
    <font>
      <sz val="8"/>
      <name val="Tahoma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52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6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65" applyNumberFormat="0" applyAlignment="0" applyProtection="0"/>
    <xf numFmtId="0" fontId="28" fillId="27" borderId="66" applyNumberFormat="0" applyAlignment="0" applyProtection="0"/>
    <xf numFmtId="0" fontId="29" fillId="0" borderId="0" applyNumberFormat="0" applyFill="0" applyBorder="0" applyAlignment="0" applyProtection="0"/>
    <xf numFmtId="0" fontId="30" fillId="28" borderId="0" applyNumberFormat="0" applyBorder="0" applyAlignment="0" applyProtection="0"/>
    <xf numFmtId="0" fontId="31" fillId="0" borderId="67" applyNumberFormat="0" applyFill="0" applyAlignment="0" applyProtection="0"/>
    <xf numFmtId="0" fontId="32" fillId="0" borderId="68" applyNumberFormat="0" applyFill="0" applyAlignment="0" applyProtection="0"/>
    <xf numFmtId="0" fontId="33" fillId="0" borderId="69" applyNumberFormat="0" applyFill="0" applyAlignment="0" applyProtection="0"/>
    <xf numFmtId="0" fontId="33" fillId="0" borderId="0" applyNumberFormat="0" applyFill="0" applyBorder="0" applyAlignment="0" applyProtection="0"/>
    <xf numFmtId="0" fontId="34" fillId="29" borderId="65" applyNumberFormat="0" applyAlignment="0" applyProtection="0"/>
    <xf numFmtId="0" fontId="35" fillId="0" borderId="70" applyNumberFormat="0" applyFill="0" applyAlignment="0" applyProtection="0"/>
    <xf numFmtId="0" fontId="36" fillId="30" borderId="0" applyNumberFormat="0" applyBorder="0" applyAlignment="0" applyProtection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8" fillId="31" borderId="71" applyNumberFormat="0" applyFont="0" applyAlignment="0" applyProtection="0"/>
    <xf numFmtId="0" fontId="18" fillId="31" borderId="71" applyNumberFormat="0" applyFont="0" applyAlignment="0" applyProtection="0"/>
    <xf numFmtId="0" fontId="18" fillId="31" borderId="71" applyNumberFormat="0" applyFont="0" applyAlignment="0" applyProtection="0"/>
    <xf numFmtId="0" fontId="18" fillId="31" borderId="71" applyNumberFormat="0" applyFont="0" applyAlignment="0" applyProtection="0"/>
    <xf numFmtId="0" fontId="37" fillId="26" borderId="72" applyNumberFormat="0" applyAlignment="0" applyProtection="0"/>
    <xf numFmtId="0" fontId="38" fillId="0" borderId="0" applyNumberFormat="0" applyFill="0" applyBorder="0" applyAlignment="0" applyProtection="0"/>
    <xf numFmtId="0" fontId="39" fillId="0" borderId="73" applyNumberFormat="0" applyFill="0" applyAlignment="0" applyProtection="0"/>
    <xf numFmtId="0" fontId="40" fillId="0" borderId="0" applyNumberFormat="0" applyFill="0" applyBorder="0" applyAlignment="0" applyProtection="0"/>
  </cellStyleXfs>
  <cellXfs count="592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Border="1" applyAlignment="1">
      <alignment horizontal="center" wrapText="1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 applyProtection="1">
      <alignment horizontal="center" wrapText="1"/>
      <protection locked="0"/>
    </xf>
    <xf numFmtId="0" fontId="0" fillId="0" borderId="0" xfId="0" applyBorder="1" applyAlignment="1">
      <alignment wrapText="1"/>
    </xf>
    <xf numFmtId="178" fontId="5" fillId="0" borderId="0" xfId="0" quotePrefix="1" applyNumberFormat="1" applyFont="1" applyBorder="1" applyAlignment="1">
      <alignment horizontal="center" vertical="center" wrapText="1"/>
    </xf>
    <xf numFmtId="178" fontId="5" fillId="0" borderId="0" xfId="0" applyNumberFormat="1" applyFont="1" applyBorder="1" applyAlignment="1">
      <alignment horizontal="center" vertical="center" wrapText="1"/>
    </xf>
    <xf numFmtId="0" fontId="6" fillId="0" borderId="0" xfId="0" quotePrefix="1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9" fillId="0" borderId="0" xfId="0" applyFont="1" applyBorder="1" applyAlignment="1" applyProtection="1">
      <alignment horizontal="center" vertical="top" wrapText="1"/>
      <protection locked="0"/>
    </xf>
    <xf numFmtId="0" fontId="8" fillId="0" borderId="0" xfId="0" applyFont="1" applyBorder="1" applyAlignment="1">
      <alignment wrapText="1"/>
    </xf>
    <xf numFmtId="0" fontId="9" fillId="0" borderId="0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>
      <alignment horizontal="center" vertical="center" wrapText="1"/>
    </xf>
    <xf numFmtId="178" fontId="10" fillId="0" borderId="0" xfId="0" quotePrefix="1" applyNumberFormat="1" applyFont="1" applyBorder="1" applyAlignment="1">
      <alignment horizontal="center" vertical="center" wrapText="1"/>
    </xf>
    <xf numFmtId="178" fontId="10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wrapText="1"/>
    </xf>
    <xf numFmtId="0" fontId="8" fillId="0" borderId="0" xfId="0" quotePrefix="1" applyFont="1" applyBorder="1" applyAlignment="1">
      <alignment horizontal="center" vertical="top" wrapText="1"/>
    </xf>
    <xf numFmtId="0" fontId="7" fillId="0" borderId="0" xfId="0" applyFont="1" applyBorder="1" applyAlignment="1">
      <alignment horizontal="right" wrapText="1"/>
    </xf>
    <xf numFmtId="0" fontId="7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wrapText="1"/>
    </xf>
    <xf numFmtId="0" fontId="12" fillId="0" borderId="0" xfId="0" applyFont="1" applyAlignment="1">
      <alignment horizontal="right"/>
    </xf>
    <xf numFmtId="0" fontId="12" fillId="0" borderId="0" xfId="0" applyFont="1" applyBorder="1" applyAlignment="1">
      <alignment horizontal="right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13" fontId="0" fillId="0" borderId="0" xfId="0" applyNumberFormat="1" applyBorder="1" applyAlignment="1">
      <alignment horizontal="right"/>
    </xf>
    <xf numFmtId="0" fontId="12" fillId="0" borderId="0" xfId="0" applyFont="1" applyBorder="1" applyAlignment="1">
      <alignment horizontal="center" wrapText="1"/>
    </xf>
    <xf numFmtId="0" fontId="12" fillId="0" borderId="0" xfId="0" applyFont="1" applyBorder="1" applyAlignment="1">
      <alignment vertical="top" wrapText="1"/>
    </xf>
    <xf numFmtId="0" fontId="12" fillId="0" borderId="0" xfId="0" applyFont="1" applyAlignment="1"/>
    <xf numFmtId="0" fontId="12" fillId="0" borderId="2" xfId="0" applyFont="1" applyBorder="1" applyAlignment="1" applyProtection="1">
      <protection locked="0"/>
    </xf>
    <xf numFmtId="0" fontId="12" fillId="0" borderId="3" xfId="0" applyFont="1" applyBorder="1" applyAlignment="1" applyProtection="1">
      <protection locked="0"/>
    </xf>
    <xf numFmtId="0" fontId="12" fillId="0" borderId="0" xfId="0" applyFont="1" applyAlignment="1" applyProtection="1">
      <protection locked="0"/>
    </xf>
    <xf numFmtId="13" fontId="3" fillId="0" borderId="0" xfId="0" applyNumberFormat="1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/>
    <xf numFmtId="0" fontId="13" fillId="0" borderId="0" xfId="0" applyFont="1" applyAlignment="1">
      <alignment horizontal="center" wrapText="1"/>
    </xf>
    <xf numFmtId="0" fontId="3" fillId="0" borderId="0" xfId="0" applyNumberFormat="1" applyFont="1" applyBorder="1" applyAlignment="1" applyProtection="1">
      <alignment horizontal="left" vertical="center"/>
      <protection locked="0"/>
    </xf>
    <xf numFmtId="0" fontId="4" fillId="0" borderId="0" xfId="0" applyFont="1"/>
    <xf numFmtId="0" fontId="6" fillId="0" borderId="0" xfId="0" applyFont="1" applyBorder="1"/>
    <xf numFmtId="0" fontId="4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right" vertical="center" wrapText="1"/>
    </xf>
    <xf numFmtId="13" fontId="4" fillId="0" borderId="0" xfId="0" applyNumberFormat="1" applyFont="1" applyAlignment="1">
      <alignment horizontal="right"/>
    </xf>
    <xf numFmtId="0" fontId="4" fillId="0" borderId="0" xfId="0" applyFont="1" applyBorder="1"/>
    <xf numFmtId="0" fontId="12" fillId="0" borderId="0" xfId="0" applyFont="1" applyBorder="1" applyAlignment="1">
      <alignment horizont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Protection="1">
      <protection locked="0"/>
    </xf>
    <xf numFmtId="13" fontId="4" fillId="0" borderId="0" xfId="0" applyNumberFormat="1" applyFont="1" applyBorder="1" applyAlignment="1" applyProtection="1">
      <alignment horizontal="right"/>
      <protection locked="0"/>
    </xf>
    <xf numFmtId="0" fontId="4" fillId="0" borderId="2" xfId="0" applyFont="1" applyBorder="1" applyProtection="1">
      <protection locked="0"/>
    </xf>
    <xf numFmtId="13" fontId="4" fillId="0" borderId="2" xfId="0" applyNumberFormat="1" applyFont="1" applyBorder="1" applyAlignment="1" applyProtection="1">
      <alignment horizontal="right"/>
      <protection locked="0"/>
    </xf>
    <xf numFmtId="0" fontId="4" fillId="0" borderId="3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5" xfId="0" applyFont="1" applyBorder="1"/>
    <xf numFmtId="13" fontId="4" fillId="0" borderId="5" xfId="0" applyNumberFormat="1" applyFont="1" applyBorder="1" applyAlignment="1">
      <alignment horizontal="right"/>
    </xf>
    <xf numFmtId="179" fontId="12" fillId="0" borderId="0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0" fontId="4" fillId="0" borderId="6" xfId="0" applyFont="1" applyBorder="1"/>
    <xf numFmtId="0" fontId="0" fillId="0" borderId="0" xfId="0" applyBorder="1" applyAlignment="1"/>
    <xf numFmtId="0" fontId="9" fillId="0" borderId="0" xfId="0" applyFont="1" applyBorder="1" applyAlignment="1" applyProtection="1">
      <alignment horizontal="center"/>
      <protection locked="0"/>
    </xf>
    <xf numFmtId="0" fontId="3" fillId="0" borderId="7" xfId="0" quotePrefix="1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wrapText="1"/>
    </xf>
    <xf numFmtId="0" fontId="3" fillId="0" borderId="9" xfId="0" applyFont="1" applyBorder="1" applyAlignment="1">
      <alignment horizontal="center" vertical="center" wrapText="1"/>
    </xf>
    <xf numFmtId="49" fontId="6" fillId="0" borderId="10" xfId="0" applyNumberFormat="1" applyFont="1" applyBorder="1" applyAlignment="1" applyProtection="1">
      <alignment vertical="center" wrapText="1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" xfId="0" applyBorder="1" applyAlignment="1"/>
    <xf numFmtId="0" fontId="0" fillId="0" borderId="19" xfId="0" applyBorder="1" applyAlignme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13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 applyProtection="1">
      <alignment horizontal="left" vertical="center"/>
      <protection locked="0"/>
    </xf>
    <xf numFmtId="13" fontId="3" fillId="0" borderId="0" xfId="0" applyNumberFormat="1" applyFont="1" applyBorder="1" applyAlignment="1">
      <alignment horizontal="right" vertical="top"/>
    </xf>
    <xf numFmtId="0" fontId="3" fillId="0" borderId="0" xfId="0" applyFont="1" applyBorder="1" applyAlignment="1">
      <alignment vertical="top"/>
    </xf>
    <xf numFmtId="0" fontId="0" fillId="0" borderId="0" xfId="0" applyBorder="1" applyProtection="1"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4" fontId="6" fillId="0" borderId="0" xfId="0" applyNumberFormat="1" applyFont="1" applyBorder="1" applyAlignment="1" applyProtection="1">
      <alignment horizontal="right" vertical="center" wrapText="1"/>
      <protection locked="0"/>
    </xf>
    <xf numFmtId="49" fontId="0" fillId="0" borderId="14" xfId="0" applyNumberFormat="1" applyBorder="1" applyAlignment="1"/>
    <xf numFmtId="49" fontId="0" fillId="0" borderId="0" xfId="0" applyNumberFormat="1" applyBorder="1" applyAlignment="1"/>
    <xf numFmtId="49" fontId="0" fillId="0" borderId="1" xfId="0" applyNumberFormat="1" applyBorder="1" applyAlignment="1"/>
    <xf numFmtId="49" fontId="3" fillId="0" borderId="4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6" fillId="0" borderId="20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49" fontId="6" fillId="0" borderId="0" xfId="0" applyNumberFormat="1" applyFont="1"/>
    <xf numFmtId="49" fontId="4" fillId="0" borderId="1" xfId="0" applyNumberFormat="1" applyFont="1" applyBorder="1" applyAlignment="1" applyProtection="1">
      <alignment vertical="center"/>
      <protection locked="0"/>
    </xf>
    <xf numFmtId="49" fontId="0" fillId="0" borderId="14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Border="1" applyAlignment="1" applyProtection="1">
      <alignment horizontal="center"/>
      <protection locked="0"/>
    </xf>
    <xf numFmtId="49" fontId="12" fillId="0" borderId="0" xfId="0" applyNumberFormat="1" applyFont="1" applyBorder="1" applyAlignment="1" applyProtection="1">
      <alignment horizontal="center" vertical="center"/>
      <protection locked="0"/>
    </xf>
    <xf numFmtId="49" fontId="12" fillId="0" borderId="2" xfId="0" applyNumberFormat="1" applyFont="1" applyBorder="1" applyAlignment="1" applyProtection="1">
      <protection locked="0"/>
    </xf>
    <xf numFmtId="49" fontId="12" fillId="0" borderId="3" xfId="0" applyNumberFormat="1" applyFont="1" applyBorder="1" applyAlignment="1" applyProtection="1">
      <protection locked="0"/>
    </xf>
    <xf numFmtId="49" fontId="12" fillId="0" borderId="0" xfId="0" applyNumberFormat="1" applyFont="1" applyAlignment="1" applyProtection="1">
      <protection locked="0"/>
    </xf>
    <xf numFmtId="49" fontId="4" fillId="0" borderId="3" xfId="0" applyNumberFormat="1" applyFont="1" applyBorder="1" applyProtection="1">
      <protection locked="0"/>
    </xf>
    <xf numFmtId="49" fontId="4" fillId="0" borderId="0" xfId="0" applyNumberFormat="1" applyFont="1" applyBorder="1"/>
    <xf numFmtId="49" fontId="9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0" fillId="0" borderId="0" xfId="0" applyNumberFormat="1" applyBorder="1"/>
    <xf numFmtId="0" fontId="24" fillId="0" borderId="0" xfId="38"/>
    <xf numFmtId="0" fontId="24" fillId="0" borderId="0" xfId="38" quotePrefix="1"/>
    <xf numFmtId="0" fontId="24" fillId="0" borderId="0" xfId="40"/>
    <xf numFmtId="0" fontId="24" fillId="0" borderId="0" xfId="40" applyFill="1"/>
    <xf numFmtId="0" fontId="0" fillId="0" borderId="10" xfId="0" applyBorder="1" applyAlignment="1">
      <alignment vertical="center" wrapText="1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0" fillId="0" borderId="0" xfId="0" applyNumberFormat="1"/>
    <xf numFmtId="0" fontId="3" fillId="0" borderId="0" xfId="0" applyNumberFormat="1" applyFont="1" applyBorder="1" applyAlignment="1">
      <alignment horizontal="left" vertical="center"/>
    </xf>
    <xf numFmtId="0" fontId="15" fillId="0" borderId="0" xfId="0" applyNumberFormat="1" applyFont="1" applyBorder="1" applyAlignment="1">
      <alignment horizontal="center" vertical="center"/>
    </xf>
    <xf numFmtId="0" fontId="6" fillId="0" borderId="0" xfId="0" applyNumberFormat="1" applyFont="1"/>
    <xf numFmtId="0" fontId="0" fillId="0" borderId="0" xfId="0" applyNumberFormat="1" applyAlignment="1">
      <alignment wrapText="1"/>
    </xf>
    <xf numFmtId="0" fontId="6" fillId="0" borderId="22" xfId="0" applyFont="1" applyBorder="1" applyAlignment="1" applyProtection="1">
      <alignment horizontal="center"/>
      <protection locked="0"/>
    </xf>
    <xf numFmtId="0" fontId="6" fillId="0" borderId="23" xfId="0" applyFont="1" applyBorder="1" applyAlignment="1" applyProtection="1">
      <protection locked="0"/>
    </xf>
    <xf numFmtId="0" fontId="6" fillId="0" borderId="24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49" fontId="6" fillId="0" borderId="23" xfId="0" applyNumberFormat="1" applyFont="1" applyBorder="1" applyAlignment="1" applyProtection="1">
      <protection locked="0"/>
    </xf>
    <xf numFmtId="49" fontId="6" fillId="0" borderId="26" xfId="0" applyNumberFormat="1" applyFont="1" applyBorder="1" applyAlignment="1" applyProtection="1">
      <protection locked="0"/>
    </xf>
    <xf numFmtId="49" fontId="6" fillId="0" borderId="25" xfId="0" applyNumberFormat="1" applyFont="1" applyBorder="1" applyAlignment="1" applyProtection="1">
      <protection locked="0"/>
    </xf>
    <xf numFmtId="49" fontId="6" fillId="0" borderId="27" xfId="0" applyNumberFormat="1" applyFont="1" applyBorder="1" applyAlignment="1" applyProtection="1">
      <protection locked="0"/>
    </xf>
    <xf numFmtId="0" fontId="6" fillId="0" borderId="23" xfId="0" applyFont="1" applyBorder="1" applyAlignment="1" applyProtection="1">
      <alignment wrapText="1"/>
      <protection locked="0"/>
    </xf>
    <xf numFmtId="0" fontId="6" fillId="0" borderId="25" xfId="0" applyFont="1" applyBorder="1" applyAlignment="1" applyProtection="1">
      <alignment wrapText="1"/>
      <protection locked="0"/>
    </xf>
    <xf numFmtId="0" fontId="6" fillId="0" borderId="28" xfId="0" applyFont="1" applyBorder="1" applyAlignment="1" applyProtection="1">
      <protection locked="0"/>
    </xf>
    <xf numFmtId="0" fontId="6" fillId="0" borderId="29" xfId="0" applyFont="1" applyBorder="1" applyAlignment="1" applyProtection="1">
      <protection locked="0"/>
    </xf>
    <xf numFmtId="0" fontId="3" fillId="0" borderId="3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28" xfId="0" applyFont="1" applyBorder="1" applyAlignment="1" applyProtection="1">
      <alignment horizont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32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6" fillId="0" borderId="2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 wrapText="1"/>
    </xf>
    <xf numFmtId="0" fontId="0" fillId="0" borderId="10" xfId="0" applyBorder="1" applyAlignment="1" applyProtection="1">
      <alignment vertical="center" wrapText="1"/>
    </xf>
    <xf numFmtId="0" fontId="0" fillId="0" borderId="0" xfId="0" applyProtection="1"/>
    <xf numFmtId="0" fontId="6" fillId="0" borderId="0" xfId="0" applyFont="1" applyBorder="1" applyAlignment="1" applyProtection="1">
      <alignment horizontal="right" wrapText="1"/>
    </xf>
    <xf numFmtId="0" fontId="0" fillId="0" borderId="23" xfId="0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49" fontId="0" fillId="0" borderId="23" xfId="0" applyNumberFormat="1" applyBorder="1" applyAlignment="1" applyProtection="1">
      <protection locked="0"/>
    </xf>
    <xf numFmtId="49" fontId="0" fillId="0" borderId="25" xfId="0" applyNumberFormat="1" applyBorder="1" applyAlignment="1" applyProtection="1">
      <protection locked="0"/>
    </xf>
    <xf numFmtId="0" fontId="0" fillId="0" borderId="13" xfId="0" applyBorder="1" applyAlignment="1" applyProtection="1"/>
    <xf numFmtId="0" fontId="0" fillId="0" borderId="14" xfId="0" applyBorder="1" applyAlignment="1" applyProtection="1"/>
    <xf numFmtId="0" fontId="0" fillId="0" borderId="15" xfId="0" applyBorder="1" applyAlignment="1" applyProtection="1"/>
    <xf numFmtId="13" fontId="3" fillId="0" borderId="21" xfId="0" applyNumberFormat="1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 wrapText="1"/>
    </xf>
    <xf numFmtId="0" fontId="0" fillId="0" borderId="16" xfId="0" applyBorder="1" applyAlignment="1" applyProtection="1"/>
    <xf numFmtId="0" fontId="0" fillId="0" borderId="0" xfId="0" applyBorder="1" applyAlignment="1" applyProtection="1"/>
    <xf numFmtId="0" fontId="0" fillId="0" borderId="17" xfId="0" applyBorder="1" applyAlignment="1" applyProtection="1"/>
    <xf numFmtId="0" fontId="0" fillId="0" borderId="18" xfId="0" applyBorder="1" applyAlignment="1" applyProtection="1"/>
    <xf numFmtId="0" fontId="0" fillId="0" borderId="1" xfId="0" applyBorder="1" applyAlignment="1" applyProtection="1"/>
    <xf numFmtId="0" fontId="0" fillId="0" borderId="19" xfId="0" applyBorder="1" applyAlignment="1" applyProtection="1"/>
    <xf numFmtId="0" fontId="0" fillId="0" borderId="23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3" fillId="0" borderId="3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6" fillId="0" borderId="21" xfId="0" applyFont="1" applyBorder="1" applyAlignment="1" applyProtection="1">
      <alignment vertical="center"/>
      <protection locked="0"/>
    </xf>
    <xf numFmtId="0" fontId="0" fillId="0" borderId="32" xfId="0" applyBorder="1"/>
    <xf numFmtId="0" fontId="6" fillId="0" borderId="33" xfId="0" applyFont="1" applyBorder="1" applyAlignment="1" applyProtection="1">
      <alignment vertical="center"/>
      <protection locked="0"/>
    </xf>
    <xf numFmtId="0" fontId="3" fillId="0" borderId="9" xfId="0" applyFont="1" applyBorder="1" applyAlignment="1">
      <alignment horizontal="center" vertical="center"/>
    </xf>
    <xf numFmtId="0" fontId="0" fillId="0" borderId="23" xfId="0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0" fillId="0" borderId="23" xfId="0" applyBorder="1" applyAlignment="1" applyProtection="1">
      <alignment vertical="center"/>
      <protection locked="0"/>
    </xf>
    <xf numFmtId="0" fontId="0" fillId="0" borderId="25" xfId="0" applyBorder="1" applyAlignment="1" applyProtection="1">
      <alignment vertical="center"/>
      <protection locked="0"/>
    </xf>
    <xf numFmtId="0" fontId="6" fillId="0" borderId="23" xfId="0" applyFont="1" applyBorder="1" applyAlignment="1" applyProtection="1">
      <alignment vertical="center" shrinkToFit="1"/>
      <protection locked="0"/>
    </xf>
    <xf numFmtId="0" fontId="6" fillId="0" borderId="25" xfId="0" applyFont="1" applyBorder="1" applyAlignment="1" applyProtection="1">
      <alignment vertical="center" shrinkToFit="1"/>
      <protection locked="0"/>
    </xf>
    <xf numFmtId="0" fontId="24" fillId="0" borderId="0" xfId="42"/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8" fillId="0" borderId="0" xfId="40" applyFont="1" applyFill="1"/>
    <xf numFmtId="0" fontId="19" fillId="0" borderId="0" xfId="40" applyFont="1"/>
    <xf numFmtId="0" fontId="20" fillId="0" borderId="0" xfId="40" applyFont="1" applyFill="1"/>
    <xf numFmtId="0" fontId="6" fillId="0" borderId="32" xfId="0" applyFont="1" applyBorder="1" applyAlignment="1" applyProtection="1">
      <alignment horizontal="center" vertical="center"/>
      <protection locked="0"/>
    </xf>
    <xf numFmtId="0" fontId="17" fillId="0" borderId="21" xfId="0" applyFont="1" applyBorder="1" applyAlignment="1" applyProtection="1">
      <alignment vertical="center"/>
      <protection locked="0"/>
    </xf>
    <xf numFmtId="0" fontId="0" fillId="0" borderId="23" xfId="0" applyBorder="1" applyAlignment="1"/>
    <xf numFmtId="0" fontId="17" fillId="0" borderId="23" xfId="0" applyFont="1" applyBorder="1" applyAlignment="1" applyProtection="1">
      <alignment vertical="center"/>
      <protection locked="0"/>
    </xf>
    <xf numFmtId="0" fontId="0" fillId="0" borderId="25" xfId="0" applyBorder="1" applyAlignment="1"/>
    <xf numFmtId="0" fontId="17" fillId="0" borderId="25" xfId="0" applyFont="1" applyBorder="1" applyAlignment="1" applyProtection="1">
      <alignment vertical="center"/>
      <protection locked="0"/>
    </xf>
    <xf numFmtId="0" fontId="6" fillId="0" borderId="23" xfId="0" applyFont="1" applyBorder="1" applyAlignment="1" applyProtection="1">
      <alignment horizontal="center"/>
      <protection locked="0"/>
    </xf>
    <xf numFmtId="1" fontId="6" fillId="0" borderId="22" xfId="0" applyNumberFormat="1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36" xfId="0" applyFont="1" applyBorder="1" applyAlignment="1" applyProtection="1">
      <alignment horizontal="center" vertical="center" wrapText="1"/>
      <protection locked="0"/>
    </xf>
    <xf numFmtId="0" fontId="18" fillId="0" borderId="0" xfId="40" applyFont="1"/>
    <xf numFmtId="0" fontId="0" fillId="0" borderId="13" xfId="0" applyFill="1" applyBorder="1" applyAlignment="1"/>
    <xf numFmtId="0" fontId="3" fillId="0" borderId="4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0" fillId="0" borderId="19" xfId="0" applyFill="1" applyBorder="1" applyAlignment="1"/>
    <xf numFmtId="0" fontId="0" fillId="0" borderId="1" xfId="0" applyFill="1" applyBorder="1" applyAlignment="1"/>
    <xf numFmtId="0" fontId="0" fillId="0" borderId="18" xfId="0" applyFill="1" applyBorder="1" applyAlignment="1"/>
    <xf numFmtId="13" fontId="3" fillId="0" borderId="0" xfId="0" applyNumberFormat="1" applyFont="1" applyFill="1" applyBorder="1" applyAlignment="1">
      <alignment horizontal="left" vertical="center"/>
    </xf>
    <xf numFmtId="0" fontId="0" fillId="0" borderId="17" xfId="0" applyFill="1" applyBorder="1" applyAlignment="1"/>
    <xf numFmtId="0" fontId="0" fillId="0" borderId="0" xfId="0" applyFill="1" applyBorder="1" applyAlignment="1"/>
    <xf numFmtId="0" fontId="0" fillId="0" borderId="16" xfId="0" applyFill="1" applyBorder="1" applyAlignment="1"/>
    <xf numFmtId="0" fontId="0" fillId="0" borderId="0" xfId="0" applyFill="1"/>
    <xf numFmtId="0" fontId="3" fillId="0" borderId="33" xfId="0" applyFont="1" applyFill="1" applyBorder="1" applyAlignment="1" applyProtection="1">
      <alignment horizontal="center" vertical="center" wrapText="1"/>
    </xf>
    <xf numFmtId="13" fontId="3" fillId="0" borderId="21" xfId="0" applyNumberFormat="1" applyFont="1" applyFill="1" applyBorder="1" applyAlignment="1" applyProtection="1">
      <alignment horizontal="center" vertical="center"/>
    </xf>
    <xf numFmtId="0" fontId="0" fillId="0" borderId="15" xfId="0" applyFill="1" applyBorder="1" applyAlignment="1"/>
    <xf numFmtId="0" fontId="0" fillId="0" borderId="14" xfId="0" applyFill="1" applyBorder="1" applyAlignment="1"/>
    <xf numFmtId="0" fontId="6" fillId="0" borderId="22" xfId="0" applyFont="1" applyFill="1" applyBorder="1" applyAlignment="1" applyProtection="1">
      <alignment horizontal="center"/>
      <protection locked="0"/>
    </xf>
    <xf numFmtId="0" fontId="6" fillId="0" borderId="22" xfId="37" applyFont="1" applyFill="1" applyBorder="1" applyAlignment="1" applyProtection="1">
      <alignment horizontal="center" vertical="center" wrapText="1"/>
      <protection locked="0"/>
    </xf>
    <xf numFmtId="0" fontId="6" fillId="0" borderId="23" xfId="37" applyFont="1" applyFill="1" applyBorder="1" applyAlignment="1" applyProtection="1">
      <alignment vertical="center" wrapText="1"/>
      <protection locked="0"/>
    </xf>
    <xf numFmtId="0" fontId="3" fillId="0" borderId="8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 applyProtection="1">
      <alignment horizontal="center" vertical="center" wrapText="1"/>
      <protection locked="0"/>
    </xf>
    <xf numFmtId="0" fontId="6" fillId="0" borderId="21" xfId="0" applyFont="1" applyFill="1" applyBorder="1" applyAlignment="1" applyProtection="1">
      <alignment vertical="center" wrapText="1"/>
      <protection locked="0"/>
    </xf>
    <xf numFmtId="0" fontId="6" fillId="0" borderId="2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wrapText="1"/>
    </xf>
    <xf numFmtId="0" fontId="6" fillId="0" borderId="24" xfId="0" applyFont="1" applyFill="1" applyBorder="1" applyAlignment="1" applyProtection="1">
      <alignment horizontal="center"/>
      <protection locked="0"/>
    </xf>
    <xf numFmtId="0" fontId="6" fillId="0" borderId="25" xfId="0" applyFont="1" applyFill="1" applyBorder="1" applyAlignment="1" applyProtection="1">
      <protection locked="0"/>
    </xf>
    <xf numFmtId="0" fontId="6" fillId="0" borderId="25" xfId="0" applyFont="1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right" wrapText="1"/>
    </xf>
    <xf numFmtId="0" fontId="6" fillId="0" borderId="37" xfId="0" applyFont="1" applyFill="1" applyBorder="1" applyAlignment="1" applyProtection="1">
      <alignment horizontal="center" vertical="center" wrapText="1"/>
      <protection locked="0"/>
    </xf>
    <xf numFmtId="0" fontId="6" fillId="0" borderId="38" xfId="0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 vertical="center" wrapText="1"/>
      <protection locked="0"/>
    </xf>
    <xf numFmtId="0" fontId="3" fillId="0" borderId="34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0" fillId="0" borderId="21" xfId="0" applyFill="1" applyBorder="1" applyAlignment="1">
      <alignment vertical="center" wrapText="1"/>
    </xf>
    <xf numFmtId="0" fontId="6" fillId="0" borderId="38" xfId="0" applyFont="1" applyFill="1" applyBorder="1" applyAlignment="1" applyProtection="1">
      <alignment vertical="center" wrapText="1"/>
      <protection locked="0"/>
    </xf>
    <xf numFmtId="0" fontId="0" fillId="0" borderId="38" xfId="0" applyFill="1" applyBorder="1" applyAlignment="1">
      <alignment vertical="center" wrapText="1"/>
    </xf>
    <xf numFmtId="49" fontId="0" fillId="0" borderId="1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Fill="1" applyBorder="1" applyAlignment="1"/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49" fontId="6" fillId="0" borderId="40" xfId="0" applyNumberFormat="1" applyFont="1" applyFill="1" applyBorder="1" applyAlignment="1" applyProtection="1">
      <alignment vertical="center" wrapText="1"/>
      <protection locked="0"/>
    </xf>
    <xf numFmtId="49" fontId="0" fillId="0" borderId="0" xfId="0" applyNumberFormat="1" applyFill="1"/>
    <xf numFmtId="0" fontId="41" fillId="32" borderId="23" xfId="0" applyFont="1" applyFill="1" applyBorder="1" applyAlignment="1">
      <alignment horizontal="center" wrapText="1"/>
    </xf>
    <xf numFmtId="0" fontId="41" fillId="0" borderId="23" xfId="0" applyFont="1" applyBorder="1" applyAlignment="1">
      <alignment horizontal="center" wrapText="1"/>
    </xf>
    <xf numFmtId="0" fontId="41" fillId="0" borderId="23" xfId="0" applyFont="1" applyBorder="1" applyAlignment="1">
      <alignment horizontal="center" wrapText="1"/>
    </xf>
    <xf numFmtId="0" fontId="41" fillId="0" borderId="23" xfId="0" applyFont="1" applyFill="1" applyBorder="1" applyAlignment="1">
      <alignment horizontal="center" wrapText="1"/>
    </xf>
    <xf numFmtId="0" fontId="6" fillId="32" borderId="23" xfId="0" applyFont="1" applyFill="1" applyBorder="1" applyAlignment="1" applyProtection="1">
      <alignment vertical="center" wrapText="1"/>
      <protection locked="0"/>
    </xf>
    <xf numFmtId="0" fontId="0" fillId="32" borderId="23" xfId="0" applyFill="1" applyBorder="1" applyAlignment="1">
      <alignment vertical="center" wrapText="1"/>
    </xf>
    <xf numFmtId="0" fontId="41" fillId="0" borderId="23" xfId="0" applyFont="1" applyFill="1" applyBorder="1" applyAlignment="1">
      <alignment horizontal="center" wrapText="1"/>
    </xf>
    <xf numFmtId="0" fontId="41" fillId="0" borderId="23" xfId="0" applyFont="1" applyFill="1" applyBorder="1" applyAlignment="1">
      <alignment horizontal="center" wrapText="1"/>
    </xf>
    <xf numFmtId="0" fontId="41" fillId="0" borderId="23" xfId="0" applyFont="1" applyBorder="1" applyAlignment="1">
      <alignment horizontal="center" wrapText="1"/>
    </xf>
    <xf numFmtId="0" fontId="41" fillId="32" borderId="23" xfId="0" applyFont="1" applyFill="1" applyBorder="1" applyAlignment="1">
      <alignment horizontal="center" wrapText="1"/>
    </xf>
    <xf numFmtId="0" fontId="41" fillId="0" borderId="23" xfId="0" applyFont="1" applyFill="1" applyBorder="1" applyAlignment="1">
      <alignment horizontal="center" wrapText="1"/>
    </xf>
    <xf numFmtId="0" fontId="6" fillId="0" borderId="23" xfId="0" applyFont="1" applyFill="1" applyBorder="1" applyAlignment="1" applyProtection="1">
      <alignment vertical="center" wrapText="1"/>
      <protection locked="0"/>
    </xf>
    <xf numFmtId="0" fontId="41" fillId="0" borderId="22" xfId="0" applyFont="1" applyBorder="1" applyAlignment="1">
      <alignment horizontal="center" wrapText="1"/>
    </xf>
    <xf numFmtId="0" fontId="41" fillId="32" borderId="22" xfId="0" applyFont="1" applyFill="1" applyBorder="1" applyAlignment="1">
      <alignment horizontal="center" wrapText="1"/>
    </xf>
    <xf numFmtId="0" fontId="6" fillId="0" borderId="24" xfId="0" applyFont="1" applyFill="1" applyBorder="1" applyAlignment="1" applyProtection="1">
      <alignment horizontal="center" vertical="center" wrapText="1"/>
      <protection locked="0"/>
    </xf>
    <xf numFmtId="0" fontId="6" fillId="32" borderId="25" xfId="0" applyFont="1" applyFill="1" applyBorder="1" applyAlignment="1" applyProtection="1">
      <alignment vertical="center" wrapText="1"/>
      <protection locked="0"/>
    </xf>
    <xf numFmtId="0" fontId="0" fillId="32" borderId="25" xfId="0" applyFill="1" applyBorder="1" applyAlignment="1">
      <alignment vertical="center" wrapText="1"/>
    </xf>
    <xf numFmtId="0" fontId="0" fillId="0" borderId="23" xfId="0" applyFill="1" applyBorder="1" applyAlignment="1">
      <alignment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 applyProtection="1">
      <alignment horizontal="center" vertical="center" wrapText="1"/>
      <protection locked="0"/>
    </xf>
    <xf numFmtId="0" fontId="23" fillId="0" borderId="23" xfId="0" applyFont="1" applyBorder="1" applyAlignment="1">
      <alignment horizontal="center" wrapText="1"/>
    </xf>
    <xf numFmtId="0" fontId="6" fillId="0" borderId="0" xfId="0" applyFont="1" applyFill="1"/>
    <xf numFmtId="0" fontId="3" fillId="0" borderId="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2" fillId="0" borderId="0" xfId="0" applyFont="1" applyBorder="1" applyAlignment="1">
      <alignment horizontal="right" wrapText="1"/>
    </xf>
    <xf numFmtId="0" fontId="12" fillId="0" borderId="0" xfId="0" applyFont="1" applyAlignment="1">
      <alignment horizontal="right"/>
    </xf>
    <xf numFmtId="0" fontId="12" fillId="0" borderId="0" xfId="0" applyFont="1" applyBorder="1" applyAlignment="1">
      <alignment horizontal="right"/>
    </xf>
    <xf numFmtId="0" fontId="12" fillId="0" borderId="41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4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41" xfId="0" applyFont="1" applyBorder="1" applyAlignment="1" applyProtection="1">
      <alignment horizontal="center"/>
    </xf>
    <xf numFmtId="0" fontId="12" fillId="0" borderId="12" xfId="0" applyFont="1" applyBorder="1" applyAlignment="1" applyProtection="1">
      <alignment horizontal="center"/>
    </xf>
    <xf numFmtId="0" fontId="12" fillId="0" borderId="41" xfId="0" applyFont="1" applyBorder="1" applyAlignment="1" applyProtection="1">
      <alignment horizontal="left" vertical="center"/>
      <protection locked="0"/>
    </xf>
    <xf numFmtId="0" fontId="12" fillId="0" borderId="42" xfId="0" applyFont="1" applyBorder="1" applyAlignment="1" applyProtection="1">
      <alignment horizontal="left" vertical="center"/>
      <protection locked="0"/>
    </xf>
    <xf numFmtId="0" fontId="12" fillId="0" borderId="12" xfId="0" applyFont="1" applyBorder="1" applyAlignment="1" applyProtection="1">
      <alignment horizontal="left" vertical="center"/>
      <protection locked="0"/>
    </xf>
    <xf numFmtId="0" fontId="12" fillId="0" borderId="43" xfId="0" applyFont="1" applyBorder="1" applyAlignment="1" applyProtection="1">
      <alignment horizontal="left"/>
      <protection locked="0"/>
    </xf>
    <xf numFmtId="0" fontId="12" fillId="0" borderId="3" xfId="0" applyFont="1" applyBorder="1" applyAlignment="1" applyProtection="1">
      <alignment horizontal="left"/>
      <protection locked="0"/>
    </xf>
    <xf numFmtId="0" fontId="12" fillId="0" borderId="0" xfId="0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13" fillId="0" borderId="44" xfId="0" applyFont="1" applyBorder="1" applyAlignment="1">
      <alignment horizontal="center" wrapText="1"/>
    </xf>
    <xf numFmtId="179" fontId="12" fillId="0" borderId="41" xfId="0" applyNumberFormat="1" applyFont="1" applyBorder="1" applyAlignment="1" applyProtection="1">
      <alignment horizontal="left" vertical="center"/>
      <protection locked="0"/>
    </xf>
    <xf numFmtId="179" fontId="12" fillId="0" borderId="42" xfId="0" applyNumberFormat="1" applyFont="1" applyBorder="1" applyAlignment="1" applyProtection="1">
      <alignment horizontal="left" vertical="center"/>
      <protection locked="0"/>
    </xf>
    <xf numFmtId="179" fontId="12" fillId="0" borderId="12" xfId="0" applyNumberFormat="1" applyFont="1" applyBorder="1" applyAlignment="1" applyProtection="1">
      <alignment horizontal="left" vertical="center"/>
      <protection locked="0"/>
    </xf>
    <xf numFmtId="0" fontId="12" fillId="0" borderId="0" xfId="0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right"/>
      <protection locked="0"/>
    </xf>
    <xf numFmtId="4" fontId="12" fillId="0" borderId="41" xfId="0" applyNumberFormat="1" applyFont="1" applyBorder="1" applyAlignment="1" applyProtection="1">
      <alignment horizontal="left"/>
      <protection locked="0"/>
    </xf>
    <xf numFmtId="4" fontId="12" fillId="0" borderId="42" xfId="0" applyNumberFormat="1" applyFont="1" applyBorder="1" applyAlignment="1" applyProtection="1">
      <alignment horizontal="left"/>
      <protection locked="0"/>
    </xf>
    <xf numFmtId="4" fontId="12" fillId="0" borderId="12" xfId="0" applyNumberFormat="1" applyFont="1" applyBorder="1" applyAlignment="1" applyProtection="1">
      <alignment horizontal="left"/>
      <protection locked="0"/>
    </xf>
    <xf numFmtId="13" fontId="3" fillId="0" borderId="23" xfId="0" applyNumberFormat="1" applyFont="1" applyFill="1" applyBorder="1" applyAlignment="1" applyProtection="1">
      <alignment horizontal="left" vertical="center"/>
    </xf>
    <xf numFmtId="13" fontId="3" fillId="0" borderId="28" xfId="0" applyNumberFormat="1" applyFont="1" applyFill="1" applyBorder="1" applyAlignment="1" applyProtection="1">
      <alignment horizontal="left" vertical="center"/>
    </xf>
    <xf numFmtId="0" fontId="3" fillId="0" borderId="47" xfId="0" applyNumberFormat="1" applyFont="1" applyFill="1" applyBorder="1" applyAlignment="1" applyProtection="1">
      <alignment horizontal="left" vertical="center"/>
    </xf>
    <xf numFmtId="0" fontId="3" fillId="0" borderId="48" xfId="0" applyNumberFormat="1" applyFont="1" applyFill="1" applyBorder="1" applyAlignment="1" applyProtection="1">
      <alignment horizontal="left" vertical="center"/>
    </xf>
    <xf numFmtId="0" fontId="3" fillId="0" borderId="49" xfId="0" applyNumberFormat="1" applyFont="1" applyFill="1" applyBorder="1" applyAlignment="1" applyProtection="1">
      <alignment horizontal="left" vertical="center"/>
    </xf>
    <xf numFmtId="49" fontId="6" fillId="0" borderId="40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23" xfId="0" applyFont="1" applyBorder="1" applyAlignment="1">
      <alignment horizontal="center" wrapText="1"/>
    </xf>
    <xf numFmtId="0" fontId="3" fillId="0" borderId="8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9" xfId="0" applyNumberFormat="1" applyFont="1" applyFill="1" applyBorder="1" applyAlignment="1" applyProtection="1">
      <alignment horizontal="left" vertical="center" wrapText="1"/>
      <protection locked="0"/>
    </xf>
    <xf numFmtId="0" fontId="3" fillId="0" borderId="3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2" xfId="0" applyFont="1" applyFill="1" applyBorder="1" applyAlignment="1" applyProtection="1">
      <alignment horizontal="left" vertical="center"/>
    </xf>
    <xf numFmtId="0" fontId="3" fillId="0" borderId="23" xfId="0" applyFont="1" applyFill="1" applyBorder="1" applyAlignment="1" applyProtection="1">
      <alignment horizontal="left" vertical="center"/>
    </xf>
    <xf numFmtId="14" fontId="3" fillId="0" borderId="23" xfId="0" applyNumberFormat="1" applyFont="1" applyFill="1" applyBorder="1" applyAlignment="1" applyProtection="1">
      <alignment horizontal="left" vertical="center"/>
    </xf>
    <xf numFmtId="14" fontId="3" fillId="0" borderId="28" xfId="0" applyNumberFormat="1" applyFont="1" applyFill="1" applyBorder="1" applyAlignment="1" applyProtection="1">
      <alignment horizontal="left" vertical="center"/>
    </xf>
    <xf numFmtId="0" fontId="41" fillId="0" borderId="23" xfId="0" applyFont="1" applyFill="1" applyBorder="1" applyAlignment="1">
      <alignment horizontal="center" wrapText="1"/>
    </xf>
    <xf numFmtId="0" fontId="0" fillId="0" borderId="23" xfId="0" applyFill="1" applyBorder="1" applyAlignment="1" applyProtection="1">
      <alignment horizontal="left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 applyProtection="1">
      <alignment horizontal="center" vertical="center"/>
    </xf>
    <xf numFmtId="0" fontId="3" fillId="0" borderId="21" xfId="0" applyFont="1" applyFill="1" applyBorder="1" applyAlignment="1" applyProtection="1">
      <alignment horizontal="center" vertical="center"/>
    </xf>
    <xf numFmtId="0" fontId="3" fillId="0" borderId="21" xfId="0" applyFont="1" applyFill="1" applyBorder="1" applyAlignment="1" applyProtection="1">
      <alignment horizontal="right" vertical="center"/>
    </xf>
    <xf numFmtId="4" fontId="6" fillId="0" borderId="0" xfId="0" quotePrefix="1" applyNumberFormat="1" applyFont="1" applyFill="1" applyBorder="1" applyAlignment="1" applyProtection="1">
      <alignment horizontal="right" wrapText="1"/>
      <protection locked="0"/>
    </xf>
    <xf numFmtId="0" fontId="6" fillId="0" borderId="0" xfId="0" applyFont="1" applyFill="1" applyBorder="1" applyAlignment="1">
      <alignment horizontal="right" wrapText="1"/>
    </xf>
    <xf numFmtId="4" fontId="6" fillId="0" borderId="40" xfId="0" applyNumberFormat="1" applyFont="1" applyFill="1" applyBorder="1" applyAlignment="1" applyProtection="1">
      <alignment horizontal="center" vertical="center" wrapText="1"/>
      <protection locked="0"/>
    </xf>
    <xf numFmtId="4" fontId="6" fillId="0" borderId="4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5" xfId="0" applyFont="1" applyFill="1" applyBorder="1" applyAlignment="1" applyProtection="1">
      <alignment horizontal="left" vertical="center"/>
    </xf>
    <xf numFmtId="0" fontId="3" fillId="0" borderId="27" xfId="0" applyFont="1" applyFill="1" applyBorder="1" applyAlignment="1" applyProtection="1">
      <alignment horizontal="left" vertical="center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6" fillId="0" borderId="38" xfId="0" applyFont="1" applyFill="1" applyBorder="1" applyAlignment="1" applyProtection="1">
      <alignment horizontal="center" vertical="center" wrapText="1"/>
      <protection locked="0"/>
    </xf>
    <xf numFmtId="0" fontId="6" fillId="0" borderId="50" xfId="0" applyFont="1" applyFill="1" applyBorder="1" applyAlignment="1" applyProtection="1">
      <alignment horizontal="center" vertical="center" wrapText="1"/>
      <protection locked="0"/>
    </xf>
    <xf numFmtId="0" fontId="6" fillId="0" borderId="51" xfId="0" applyFont="1" applyFill="1" applyBorder="1" applyAlignment="1" applyProtection="1">
      <alignment horizontal="center" vertical="center" wrapText="1"/>
      <protection locked="0"/>
    </xf>
    <xf numFmtId="0" fontId="6" fillId="0" borderId="52" xfId="0" applyFont="1" applyFill="1" applyBorder="1" applyAlignment="1" applyProtection="1">
      <alignment horizontal="center" vertical="center" wrapText="1"/>
      <protection locked="0"/>
    </xf>
    <xf numFmtId="4" fontId="6" fillId="0" borderId="23" xfId="0" quotePrefix="1" applyNumberFormat="1" applyFont="1" applyFill="1" applyBorder="1" applyAlignment="1" applyProtection="1">
      <alignment horizontal="right" wrapText="1"/>
      <protection locked="0"/>
    </xf>
    <xf numFmtId="0" fontId="6" fillId="0" borderId="23" xfId="0" applyFont="1" applyFill="1" applyBorder="1" applyAlignment="1">
      <alignment horizontal="right" wrapText="1"/>
    </xf>
    <xf numFmtId="0" fontId="41" fillId="32" borderId="23" xfId="0" applyFont="1" applyFill="1" applyBorder="1" applyAlignment="1">
      <alignment horizontal="center" wrapText="1"/>
    </xf>
    <xf numFmtId="0" fontId="41" fillId="0" borderId="74" xfId="0" applyFont="1" applyBorder="1" applyAlignment="1">
      <alignment horizontal="center" wrapText="1"/>
    </xf>
    <xf numFmtId="0" fontId="41" fillId="0" borderId="75" xfId="0" applyFont="1" applyBorder="1" applyAlignment="1">
      <alignment horizontal="center" wrapText="1"/>
    </xf>
    <xf numFmtId="0" fontId="6" fillId="0" borderId="21" xfId="0" applyFont="1" applyFill="1" applyBorder="1" applyAlignment="1" applyProtection="1">
      <alignment horizontal="center" vertical="center" wrapText="1"/>
      <protection locked="0"/>
    </xf>
    <xf numFmtId="0" fontId="6" fillId="0" borderId="36" xfId="0" applyFont="1" applyFill="1" applyBorder="1" applyAlignment="1" applyProtection="1">
      <alignment horizontal="center" vertical="center" wrapText="1"/>
      <protection locked="0"/>
    </xf>
    <xf numFmtId="0" fontId="6" fillId="0" borderId="53" xfId="0" applyFont="1" applyFill="1" applyBorder="1" applyAlignment="1" applyProtection="1">
      <alignment horizontal="center" vertical="center" wrapText="1"/>
      <protection locked="0"/>
    </xf>
    <xf numFmtId="0" fontId="6" fillId="0" borderId="33" xfId="0" applyFont="1" applyFill="1" applyBorder="1" applyAlignment="1" applyProtection="1">
      <alignment horizontal="center" vertical="center" wrapText="1"/>
      <protection locked="0"/>
    </xf>
    <xf numFmtId="0" fontId="6" fillId="32" borderId="23" xfId="0" applyFont="1" applyFill="1" applyBorder="1" applyAlignment="1" applyProtection="1">
      <alignment horizontal="center" vertical="center" wrapText="1"/>
      <protection locked="0"/>
    </xf>
    <xf numFmtId="0" fontId="6" fillId="32" borderId="28" xfId="0" applyFont="1" applyFill="1" applyBorder="1" applyAlignment="1" applyProtection="1">
      <alignment horizontal="center" vertical="center" wrapText="1"/>
      <protection locked="0"/>
    </xf>
    <xf numFmtId="0" fontId="3" fillId="0" borderId="2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 applyProtection="1">
      <alignment horizontal="center" vertical="center" wrapText="1"/>
      <protection locked="0"/>
    </xf>
    <xf numFmtId="0" fontId="6" fillId="0" borderId="28" xfId="0" applyFont="1" applyFill="1" applyBorder="1" applyAlignment="1" applyProtection="1">
      <alignment horizontal="center" vertical="center" wrapText="1"/>
      <protection locked="0"/>
    </xf>
    <xf numFmtId="0" fontId="6" fillId="32" borderId="25" xfId="0" applyFont="1" applyFill="1" applyBorder="1" applyAlignment="1" applyProtection="1">
      <alignment horizontal="center" vertical="center" wrapText="1"/>
      <protection locked="0"/>
    </xf>
    <xf numFmtId="0" fontId="41" fillId="32" borderId="28" xfId="0" applyFont="1" applyFill="1" applyBorder="1" applyAlignment="1">
      <alignment horizontal="center" wrapText="1"/>
    </xf>
    <xf numFmtId="0" fontId="41" fillId="0" borderId="25" xfId="0" applyFont="1" applyBorder="1" applyAlignment="1">
      <alignment horizontal="center" wrapText="1"/>
    </xf>
    <xf numFmtId="0" fontId="41" fillId="0" borderId="29" xfId="0" applyFont="1" applyBorder="1" applyAlignment="1">
      <alignment horizontal="center" wrapText="1"/>
    </xf>
    <xf numFmtId="0" fontId="41" fillId="0" borderId="28" xfId="0" applyFont="1" applyBorder="1" applyAlignment="1">
      <alignment horizontal="center" wrapText="1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5" xfId="0" applyFont="1" applyFill="1" applyBorder="1" applyAlignment="1" applyProtection="1">
      <alignment horizontal="center"/>
      <protection locked="0"/>
    </xf>
    <xf numFmtId="0" fontId="0" fillId="0" borderId="47" xfId="0" applyFill="1" applyBorder="1" applyAlignment="1" applyProtection="1">
      <alignment horizontal="center"/>
      <protection locked="0"/>
    </xf>
    <xf numFmtId="0" fontId="0" fillId="0" borderId="48" xfId="0" applyFill="1" applyBorder="1" applyAlignment="1" applyProtection="1">
      <alignment horizontal="center"/>
      <protection locked="0"/>
    </xf>
    <xf numFmtId="0" fontId="0" fillId="0" borderId="27" xfId="0" applyFill="1" applyBorder="1" applyAlignment="1" applyProtection="1">
      <alignment horizontal="center"/>
      <protection locked="0"/>
    </xf>
    <xf numFmtId="0" fontId="6" fillId="0" borderId="48" xfId="0" applyFont="1" applyFill="1" applyBorder="1" applyAlignment="1" applyProtection="1">
      <alignment horizontal="center"/>
      <protection locked="0"/>
    </xf>
    <xf numFmtId="0" fontId="6" fillId="0" borderId="49" xfId="0" applyFont="1" applyFill="1" applyBorder="1" applyAlignment="1" applyProtection="1">
      <alignment horizontal="center"/>
      <protection locked="0"/>
    </xf>
    <xf numFmtId="0" fontId="6" fillId="33" borderId="23" xfId="0" applyFont="1" applyFill="1" applyBorder="1" applyAlignment="1" applyProtection="1">
      <alignment horizontal="center" vertical="center" wrapText="1"/>
      <protection locked="0"/>
    </xf>
    <xf numFmtId="0" fontId="6" fillId="0" borderId="25" xfId="0" applyFont="1" applyFill="1" applyBorder="1" applyAlignment="1" applyProtection="1">
      <alignment horizontal="center" wrapText="1"/>
      <protection locked="0"/>
    </xf>
    <xf numFmtId="0" fontId="6" fillId="0" borderId="29" xfId="0" applyFont="1" applyFill="1" applyBorder="1" applyAlignment="1" applyProtection="1">
      <alignment horizontal="center"/>
      <protection locked="0"/>
    </xf>
    <xf numFmtId="0" fontId="6" fillId="0" borderId="23" xfId="37" applyFont="1" applyFill="1" applyBorder="1" applyAlignment="1" applyProtection="1">
      <alignment horizontal="center" vertical="center" wrapText="1"/>
      <protection locked="0"/>
    </xf>
    <xf numFmtId="0" fontId="6" fillId="0" borderId="28" xfId="37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>
      <alignment horizontal="right" wrapText="1"/>
    </xf>
    <xf numFmtId="4" fontId="6" fillId="0" borderId="0" xfId="0" quotePrefix="1" applyNumberFormat="1" applyFont="1" applyBorder="1" applyAlignment="1">
      <alignment horizontal="right" wrapText="1"/>
    </xf>
    <xf numFmtId="0" fontId="6" fillId="0" borderId="23" xfId="0" applyFont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" fillId="0" borderId="28" xfId="0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6" fillId="0" borderId="29" xfId="0" applyFont="1" applyBorder="1" applyAlignment="1" applyProtection="1">
      <alignment horizontal="center"/>
      <protection locked="0"/>
    </xf>
    <xf numFmtId="0" fontId="6" fillId="0" borderId="23" xfId="0" applyFont="1" applyFill="1" applyBorder="1" applyAlignment="1" applyProtection="1">
      <alignment horizontal="center"/>
      <protection locked="0"/>
    </xf>
    <xf numFmtId="0" fontId="0" fillId="0" borderId="23" xfId="0" applyFill="1" applyBorder="1" applyAlignment="1" applyProtection="1">
      <alignment horizontal="center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 vertical="center" wrapText="1"/>
    </xf>
    <xf numFmtId="0" fontId="6" fillId="0" borderId="54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NumberFormat="1" applyFont="1" applyBorder="1" applyAlignment="1" applyProtection="1">
      <alignment horizontal="left" vertical="center" wrapText="1"/>
      <protection locked="0"/>
    </xf>
    <xf numFmtId="0" fontId="3" fillId="0" borderId="30" xfId="0" applyNumberFormat="1" applyFont="1" applyBorder="1" applyAlignment="1" applyProtection="1">
      <alignment horizontal="left" vertical="center" wrapText="1"/>
      <protection locked="0"/>
    </xf>
    <xf numFmtId="0" fontId="3" fillId="0" borderId="9" xfId="0" applyNumberFormat="1" applyFont="1" applyBorder="1" applyAlignment="1" applyProtection="1">
      <alignment horizontal="left" vertical="center" wrapText="1"/>
      <protection locked="0"/>
    </xf>
    <xf numFmtId="0" fontId="3" fillId="0" borderId="3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2" xfId="0" applyFont="1" applyBorder="1" applyAlignment="1" applyProtection="1">
      <alignment horizontal="left" vertical="center"/>
    </xf>
    <xf numFmtId="0" fontId="3" fillId="0" borderId="23" xfId="0" applyFont="1" applyBorder="1" applyAlignment="1" applyProtection="1">
      <alignment horizontal="left" vertical="center"/>
    </xf>
    <xf numFmtId="14" fontId="3" fillId="0" borderId="23" xfId="0" applyNumberFormat="1" applyFont="1" applyBorder="1" applyAlignment="1" applyProtection="1">
      <alignment horizontal="left" vertical="center"/>
    </xf>
    <xf numFmtId="13" fontId="3" fillId="0" borderId="23" xfId="0" applyNumberFormat="1" applyFont="1" applyBorder="1" applyAlignment="1" applyProtection="1">
      <alignment horizontal="left" vertical="center"/>
    </xf>
    <xf numFmtId="13" fontId="3" fillId="0" borderId="28" xfId="0" applyNumberFormat="1" applyFont="1" applyBorder="1" applyAlignment="1" applyProtection="1">
      <alignment horizontal="left" vertical="center"/>
    </xf>
    <xf numFmtId="0" fontId="3" fillId="0" borderId="45" xfId="0" applyFont="1" applyBorder="1" applyAlignment="1" applyProtection="1">
      <alignment horizontal="left" vertical="center"/>
    </xf>
    <xf numFmtId="0" fontId="3" fillId="0" borderId="27" xfId="0" applyFont="1" applyBorder="1" applyAlignment="1" applyProtection="1">
      <alignment horizontal="left" vertical="center"/>
    </xf>
    <xf numFmtId="0" fontId="3" fillId="0" borderId="47" xfId="0" applyNumberFormat="1" applyFont="1" applyBorder="1" applyAlignment="1" applyProtection="1">
      <alignment horizontal="left" vertical="center"/>
    </xf>
    <xf numFmtId="0" fontId="3" fillId="0" borderId="48" xfId="0" applyNumberFormat="1" applyFont="1" applyBorder="1" applyAlignment="1" applyProtection="1">
      <alignment horizontal="left" vertical="center"/>
    </xf>
    <xf numFmtId="0" fontId="3" fillId="0" borderId="49" xfId="0" applyNumberFormat="1" applyFont="1" applyBorder="1" applyAlignment="1" applyProtection="1">
      <alignment horizontal="left" vertical="center"/>
    </xf>
    <xf numFmtId="14" fontId="3" fillId="0" borderId="28" xfId="0" applyNumberFormat="1" applyFont="1" applyBorder="1" applyAlignment="1" applyProtection="1">
      <alignment horizontal="left" vertical="center"/>
    </xf>
    <xf numFmtId="0" fontId="0" fillId="0" borderId="23" xfId="0" applyBorder="1" applyAlignment="1" applyProtection="1">
      <alignment horizontal="left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right" vertical="center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35" xfId="0" applyFont="1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6" fillId="0" borderId="43" xfId="0" applyFont="1" applyBorder="1" applyAlignment="1" applyProtection="1">
      <alignment horizontal="left" indent="1"/>
      <protection locked="0"/>
    </xf>
    <xf numFmtId="0" fontId="0" fillId="0" borderId="3" xfId="0" applyBorder="1" applyAlignment="1">
      <alignment horizontal="left" indent="1"/>
    </xf>
    <xf numFmtId="0" fontId="0" fillId="0" borderId="26" xfId="0" applyBorder="1" applyAlignment="1">
      <alignment horizontal="left" indent="1"/>
    </xf>
    <xf numFmtId="0" fontId="6" fillId="0" borderId="43" xfId="0" applyFont="1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4" fontId="6" fillId="0" borderId="0" xfId="0" quotePrefix="1" applyNumberFormat="1" applyFont="1" applyBorder="1" applyAlignment="1" applyProtection="1">
      <alignment horizontal="right" wrapText="1"/>
      <protection locked="0"/>
    </xf>
    <xf numFmtId="0" fontId="6" fillId="0" borderId="48" xfId="0" applyFont="1" applyBorder="1" applyAlignment="1" applyProtection="1">
      <alignment horizontal="center"/>
      <protection locked="0"/>
    </xf>
    <xf numFmtId="0" fontId="6" fillId="0" borderId="49" xfId="0" applyFont="1" applyBorder="1" applyAlignment="1" applyProtection="1">
      <alignment horizontal="center"/>
      <protection locked="0"/>
    </xf>
    <xf numFmtId="0" fontId="6" fillId="0" borderId="56" xfId="0" applyFont="1" applyBorder="1" applyAlignment="1" applyProtection="1">
      <alignment horizontal="center" vertical="center" wrapText="1"/>
      <protection locked="0"/>
    </xf>
    <xf numFmtId="0" fontId="6" fillId="0" borderId="57" xfId="0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58" xfId="0" applyFont="1" applyBorder="1" applyAlignment="1" applyProtection="1">
      <alignment horizontal="center" vertical="center" wrapText="1"/>
      <protection locked="0"/>
    </xf>
    <xf numFmtId="0" fontId="0" fillId="0" borderId="3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  <protection locked="0"/>
    </xf>
    <xf numFmtId="0" fontId="6" fillId="0" borderId="55" xfId="0" applyFont="1" applyBorder="1" applyAlignment="1" applyProtection="1">
      <alignment horizontal="center" vertical="center" wrapText="1"/>
      <protection locked="0"/>
    </xf>
    <xf numFmtId="0" fontId="0" fillId="0" borderId="55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left" indent="1"/>
      <protection locked="0"/>
    </xf>
    <xf numFmtId="0" fontId="6" fillId="0" borderId="47" xfId="0" applyFont="1" applyBorder="1" applyAlignment="1" applyProtection="1">
      <alignment horizontal="center"/>
      <protection locked="0"/>
    </xf>
    <xf numFmtId="0" fontId="0" fillId="0" borderId="48" xfId="0" applyBorder="1" applyAlignment="1">
      <alignment horizontal="center"/>
    </xf>
    <xf numFmtId="0" fontId="0" fillId="0" borderId="27" xfId="0" applyBorder="1" applyAlignment="1">
      <alignment horizontal="center"/>
    </xf>
    <xf numFmtId="0" fontId="6" fillId="0" borderId="26" xfId="0" applyFont="1" applyBorder="1" applyAlignment="1" applyProtection="1">
      <alignment horizontal="center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13" fontId="3" fillId="0" borderId="0" xfId="0" applyNumberFormat="1" applyFont="1" applyBorder="1" applyAlignment="1">
      <alignment horizontal="left" vertical="center"/>
    </xf>
    <xf numFmtId="13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 applyProtection="1">
      <alignment vertical="center" wrapText="1"/>
    </xf>
    <xf numFmtId="14" fontId="3" fillId="0" borderId="0" xfId="0" applyNumberFormat="1" applyFont="1" applyBorder="1" applyAlignment="1" applyProtection="1">
      <alignment horizontal="left" vertical="center"/>
      <protection locked="0"/>
    </xf>
    <xf numFmtId="13" fontId="3" fillId="0" borderId="0" xfId="0" applyNumberFormat="1" applyFont="1" applyBorder="1" applyAlignment="1">
      <alignment horizontal="left" vertical="top"/>
    </xf>
    <xf numFmtId="0" fontId="3" fillId="0" borderId="0" xfId="0" applyNumberFormat="1" applyFont="1" applyBorder="1" applyAlignment="1">
      <alignment horizontal="left" vertical="center" wrapText="1"/>
    </xf>
    <xf numFmtId="14" fontId="3" fillId="0" borderId="0" xfId="0" applyNumberFormat="1" applyFont="1" applyBorder="1" applyAlignment="1" applyProtection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0" borderId="8" xfId="0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8" xfId="0" applyNumberFormat="1" applyFont="1" applyBorder="1" applyAlignment="1" applyProtection="1">
      <alignment horizontal="left" vertical="center" wrapText="1"/>
    </xf>
    <xf numFmtId="0" fontId="3" fillId="0" borderId="30" xfId="0" applyNumberFormat="1" applyFont="1" applyBorder="1" applyAlignment="1" applyProtection="1">
      <alignment horizontal="left" vertical="center" wrapText="1"/>
    </xf>
    <xf numFmtId="0" fontId="3" fillId="0" borderId="9" xfId="0" applyNumberFormat="1" applyFont="1" applyBorder="1" applyAlignment="1" applyProtection="1">
      <alignment horizontal="left" vertical="center" wrapText="1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54" xfId="0" applyFont="1" applyBorder="1" applyAlignment="1" applyProtection="1">
      <alignment horizontal="center" vertical="center" wrapText="1"/>
    </xf>
    <xf numFmtId="0" fontId="3" fillId="0" borderId="30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horizontal="center" vertical="center" wrapText="1"/>
    </xf>
    <xf numFmtId="0" fontId="0" fillId="0" borderId="10" xfId="0" applyBorder="1" applyAlignment="1" applyProtection="1">
      <alignment horizontal="center" vertical="center" wrapText="1"/>
    </xf>
    <xf numFmtId="0" fontId="6" fillId="0" borderId="43" xfId="0" applyNumberFormat="1" applyFont="1" applyBorder="1" applyAlignment="1" applyProtection="1">
      <alignment horizontal="right"/>
      <protection locked="0"/>
    </xf>
    <xf numFmtId="0" fontId="6" fillId="0" borderId="3" xfId="0" applyNumberFormat="1" applyFont="1" applyBorder="1" applyAlignment="1" applyProtection="1">
      <alignment horizontal="right"/>
      <protection locked="0"/>
    </xf>
    <xf numFmtId="0" fontId="6" fillId="0" borderId="26" xfId="0" applyNumberFormat="1" applyFont="1" applyBorder="1" applyAlignment="1" applyProtection="1">
      <alignment horizontal="right"/>
      <protection locked="0"/>
    </xf>
    <xf numFmtId="0" fontId="6" fillId="0" borderId="23" xfId="0" applyFont="1" applyBorder="1" applyAlignment="1" applyProtection="1">
      <alignment horizontal="center" wrapText="1"/>
      <protection locked="0"/>
    </xf>
    <xf numFmtId="0" fontId="6" fillId="0" borderId="28" xfId="0" applyFont="1" applyBorder="1" applyAlignment="1" applyProtection="1">
      <alignment horizontal="center" wrapText="1"/>
      <protection locked="0"/>
    </xf>
    <xf numFmtId="0" fontId="6" fillId="0" borderId="0" xfId="0" applyFont="1" applyBorder="1" applyAlignment="1" applyProtection="1">
      <alignment horizontal="right" wrapText="1"/>
    </xf>
    <xf numFmtId="0" fontId="6" fillId="0" borderId="25" xfId="0" applyFont="1" applyBorder="1" applyAlignment="1" applyProtection="1">
      <alignment horizontal="center" wrapText="1"/>
      <protection locked="0"/>
    </xf>
    <xf numFmtId="0" fontId="6" fillId="0" borderId="29" xfId="0" applyFont="1" applyBorder="1" applyAlignment="1" applyProtection="1">
      <alignment horizontal="center" wrapText="1"/>
      <protection locked="0"/>
    </xf>
    <xf numFmtId="4" fontId="6" fillId="0" borderId="10" xfId="0" applyNumberFormat="1" applyFont="1" applyBorder="1" applyAlignment="1" applyProtection="1">
      <alignment horizontal="center" vertical="center" wrapText="1"/>
      <protection locked="0"/>
    </xf>
    <xf numFmtId="4" fontId="6" fillId="0" borderId="54" xfId="0" applyNumberFormat="1" applyFont="1" applyBorder="1" applyAlignment="1" applyProtection="1">
      <alignment horizontal="center" vertical="center" wrapText="1"/>
      <protection locked="0"/>
    </xf>
    <xf numFmtId="49" fontId="6" fillId="0" borderId="10" xfId="0" applyNumberFormat="1" applyFont="1" applyBorder="1" applyAlignment="1" applyProtection="1">
      <alignment horizontal="center" vertical="center" wrapText="1"/>
      <protection locked="0"/>
    </xf>
    <xf numFmtId="49" fontId="6" fillId="0" borderId="43" xfId="0" applyNumberFormat="1" applyFont="1" applyBorder="1" applyAlignment="1" applyProtection="1">
      <alignment horizontal="center"/>
      <protection locked="0"/>
    </xf>
    <xf numFmtId="49" fontId="6" fillId="0" borderId="26" xfId="0" applyNumberFormat="1" applyFont="1" applyBorder="1" applyAlignment="1" applyProtection="1">
      <alignment horizontal="center"/>
      <protection locked="0"/>
    </xf>
    <xf numFmtId="49" fontId="6" fillId="0" borderId="23" xfId="0" applyNumberFormat="1" applyFont="1" applyBorder="1" applyAlignment="1" applyProtection="1">
      <alignment horizontal="center"/>
      <protection locked="0"/>
    </xf>
    <xf numFmtId="49" fontId="0" fillId="0" borderId="23" xfId="0" applyNumberFormat="1" applyBorder="1" applyAlignment="1" applyProtection="1">
      <alignment horizontal="center"/>
      <protection locked="0"/>
    </xf>
    <xf numFmtId="4" fontId="6" fillId="0" borderId="23" xfId="0" applyNumberFormat="1" applyFont="1" applyBorder="1" applyAlignment="1" applyProtection="1">
      <alignment horizontal="center"/>
      <protection locked="0"/>
    </xf>
    <xf numFmtId="4" fontId="6" fillId="0" borderId="28" xfId="0" applyNumberFormat="1" applyFont="1" applyBorder="1" applyAlignment="1" applyProtection="1">
      <alignment horizontal="center"/>
      <protection locked="0"/>
    </xf>
    <xf numFmtId="49" fontId="6" fillId="0" borderId="25" xfId="0" applyNumberFormat="1" applyFont="1" applyBorder="1" applyAlignment="1" applyProtection="1">
      <alignment horizontal="center"/>
      <protection locked="0"/>
    </xf>
    <xf numFmtId="4" fontId="6" fillId="0" borderId="25" xfId="0" applyNumberFormat="1" applyFont="1" applyBorder="1" applyAlignment="1" applyProtection="1">
      <alignment horizontal="center"/>
      <protection locked="0"/>
    </xf>
    <xf numFmtId="4" fontId="6" fillId="0" borderId="29" xfId="0" applyNumberFormat="1" applyFont="1" applyBorder="1" applyAlignment="1" applyProtection="1">
      <alignment horizontal="center"/>
      <protection locked="0"/>
    </xf>
    <xf numFmtId="49" fontId="6" fillId="0" borderId="47" xfId="0" applyNumberFormat="1" applyFont="1" applyBorder="1" applyAlignment="1" applyProtection="1">
      <alignment horizontal="center"/>
      <protection locked="0"/>
    </xf>
    <xf numFmtId="49" fontId="6" fillId="0" borderId="27" xfId="0" applyNumberFormat="1" applyFont="1" applyBorder="1" applyAlignment="1" applyProtection="1">
      <alignment horizontal="center"/>
      <protection locked="0"/>
    </xf>
    <xf numFmtId="49" fontId="0" fillId="0" borderId="25" xfId="0" applyNumberFormat="1" applyBorder="1" applyAlignment="1" applyProtection="1">
      <alignment horizontal="center"/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6" fillId="0" borderId="53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0" fillId="0" borderId="21" xfId="0" applyBorder="1" applyAlignment="1">
      <alignment horizontal="center" vertical="center" wrapText="1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55" xfId="0" applyFont="1" applyBorder="1" applyAlignment="1" applyProtection="1">
      <alignment horizontal="center" vertical="center"/>
      <protection locked="0"/>
    </xf>
    <xf numFmtId="0" fontId="6" fillId="0" borderId="53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center"/>
    </xf>
    <xf numFmtId="0" fontId="6" fillId="0" borderId="23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6" fillId="0" borderId="60" xfId="0" applyFont="1" applyBorder="1" applyAlignment="1" applyProtection="1">
      <alignment horizontal="center" vertical="center"/>
      <protection locked="0"/>
    </xf>
    <xf numFmtId="0" fontId="6" fillId="0" borderId="61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6" fillId="0" borderId="62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3" fillId="0" borderId="31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6" fillId="0" borderId="45" xfId="0" applyFont="1" applyBorder="1" applyAlignment="1" applyProtection="1">
      <alignment horizontal="lef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49" xfId="0" applyFont="1" applyBorder="1" applyAlignment="1" applyProtection="1">
      <alignment horizontal="left"/>
      <protection locked="0"/>
    </xf>
    <xf numFmtId="0" fontId="6" fillId="0" borderId="4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6" fillId="0" borderId="26" xfId="0" applyFont="1" applyBorder="1" applyAlignment="1" applyProtection="1">
      <alignment horizontal="center" vertical="center" shrinkToFit="1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6" fillId="0" borderId="47" xfId="0" applyFont="1" applyBorder="1" applyAlignment="1" applyProtection="1">
      <alignment horizontal="center" vertical="center" shrinkToFit="1"/>
      <protection locked="0"/>
    </xf>
    <xf numFmtId="0" fontId="6" fillId="0" borderId="48" xfId="0" applyFont="1" applyBorder="1" applyAlignment="1" applyProtection="1">
      <alignment horizontal="center" vertical="center" shrinkToFit="1"/>
      <protection locked="0"/>
    </xf>
    <xf numFmtId="0" fontId="6" fillId="0" borderId="27" xfId="0" applyFont="1" applyBorder="1" applyAlignment="1" applyProtection="1">
      <alignment horizontal="center" vertical="center" shrinkToFit="1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29" xfId="0" applyBorder="1" applyAlignment="1" applyProtection="1">
      <alignment horizontal="center" vertical="center"/>
      <protection locked="0"/>
    </xf>
    <xf numFmtId="0" fontId="3" fillId="0" borderId="34" xfId="0" applyFont="1" applyBorder="1" applyAlignment="1">
      <alignment horizontal="center" vertical="center" wrapText="1"/>
    </xf>
    <xf numFmtId="0" fontId="3" fillId="0" borderId="6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23" xfId="0" applyBorder="1"/>
    <xf numFmtId="0" fontId="3" fillId="0" borderId="8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8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 vertical="center" wrapText="1"/>
      <protection locked="0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691BBFB-0B58-4584-A1A4-7CB995820504}"/>
    <cellStyle name="Normal 3" xfId="38" xr:uid="{922EA03D-B466-4A6A-B9E8-9EA9846C370D}"/>
    <cellStyle name="Normal 3 2" xfId="39" xr:uid="{584358CE-E9BB-4D99-B4EC-77636311685E}"/>
    <cellStyle name="Normal 4" xfId="40" xr:uid="{7A436FA4-9B95-4C10-8DDD-FFBD0661583F}"/>
    <cellStyle name="Normal 4 2" xfId="41" xr:uid="{AA299896-FEF4-430D-8230-114B084C369F}"/>
    <cellStyle name="Normal 5" xfId="42" xr:uid="{254CC3EA-5AA5-437A-ACA8-3A0F33B557FE}"/>
    <cellStyle name="Normal 5 2" xfId="43" xr:uid="{C5039C68-6E56-40AF-A6CC-44D48FC94F1F}"/>
    <cellStyle name="Note 2" xfId="44" xr:uid="{76C05372-E784-4BBB-84A2-CACDC12CEC7F}"/>
    <cellStyle name="Note 2 2" xfId="45" xr:uid="{B006858F-5E4A-4A29-B548-5211274FAD7E}"/>
    <cellStyle name="Note 3" xfId="46" xr:uid="{01E5AA83-C768-4D64-8A96-5B4A89D05929}"/>
    <cellStyle name="Note 3 2" xfId="47" xr:uid="{CF598BB0-ABD9-4906-AEA3-3ACD5B80F6CB}"/>
    <cellStyle name="Output" xfId="48" builtinId="21" customBuiltin="1"/>
    <cellStyle name="Title" xfId="49" builtinId="15" customBuiltin="1"/>
    <cellStyle name="Total" xfId="50" builtinId="25" customBuiltin="1"/>
    <cellStyle name="Warning Text" xfId="5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60960</xdr:rowOff>
        </xdr:from>
        <xdr:to>
          <xdr:col>3</xdr:col>
          <xdr:colOff>198120</xdr:colOff>
          <xdr:row>21</xdr:row>
          <xdr:rowOff>266700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90496DE6-316C-513F-9B12-21F0E5200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PARTIAL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60960</xdr:rowOff>
        </xdr:from>
        <xdr:to>
          <xdr:col>5</xdr:col>
          <xdr:colOff>198120</xdr:colOff>
          <xdr:row>21</xdr:row>
          <xdr:rowOff>266700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5FF3BE97-ACBB-1CDC-E44B-0074E4295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COMPLETE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60960</xdr:rowOff>
        </xdr:from>
        <xdr:to>
          <xdr:col>7</xdr:col>
          <xdr:colOff>198120</xdr:colOff>
          <xdr:row>21</xdr:row>
          <xdr:rowOff>266700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CD49B885-1D64-F5C8-40F5-9C810E90EB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OTHER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7620</xdr:rowOff>
        </xdr:from>
        <xdr:to>
          <xdr:col>2</xdr:col>
          <xdr:colOff>464820</xdr:colOff>
          <xdr:row>24</xdr:row>
          <xdr:rowOff>7620</xdr:rowOff>
        </xdr:to>
        <xdr:sp macro="" textlink="">
          <xdr:nvSpPr>
            <xdr:cNvPr id="1060" name="Butto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D5700593-83CD-BB37-211C-ECE911BA2B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Check Print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2</xdr:col>
          <xdr:colOff>464820</xdr:colOff>
          <xdr:row>32</xdr:row>
          <xdr:rowOff>0</xdr:rowOff>
        </xdr:to>
        <xdr:sp macro="" textlink="">
          <xdr:nvSpPr>
            <xdr:cNvPr id="1061" name="Butto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B68E1402-EEC1-1DCC-8B04-E1724B58F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Export to Adjutant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3</xdr:col>
          <xdr:colOff>190500</xdr:colOff>
          <xdr:row>26</xdr:row>
          <xdr:rowOff>7620</xdr:rowOff>
        </xdr:to>
        <xdr:sp macro="" textlink="">
          <xdr:nvSpPr>
            <xdr:cNvPr id="1062" name="Butto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4A70D72F-97DA-13F2-04A8-32A009F7E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Remove Unused Pages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27</xdr:row>
          <xdr:rowOff>0</xdr:rowOff>
        </xdr:from>
        <xdr:to>
          <xdr:col>2</xdr:col>
          <xdr:colOff>396240</xdr:colOff>
          <xdr:row>28</xdr:row>
          <xdr:rowOff>7620</xdr:rowOff>
        </xdr:to>
        <xdr:sp macro="" textlink="">
          <xdr:nvSpPr>
            <xdr:cNvPr id="1063" name="Butto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5E85FC2A-1FFC-6A16-EC4B-5CE5F62E18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Add Page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29</xdr:row>
          <xdr:rowOff>0</xdr:rowOff>
        </xdr:from>
        <xdr:to>
          <xdr:col>2</xdr:col>
          <xdr:colOff>396240</xdr:colOff>
          <xdr:row>30</xdr:row>
          <xdr:rowOff>7620</xdr:rowOff>
        </xdr:to>
        <xdr:sp macro="" textlink="">
          <xdr:nvSpPr>
            <xdr:cNvPr id="1064" name="Butto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E102D4A5-8663-D84F-E387-84B5335363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Move Page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4</xdr:row>
      <xdr:rowOff>0</xdr:rowOff>
    </xdr:from>
    <xdr:to>
      <xdr:col>12</xdr:col>
      <xdr:colOff>617220</xdr:colOff>
      <xdr:row>17</xdr:row>
      <xdr:rowOff>15240</xdr:rowOff>
    </xdr:to>
    <xdr:pic>
      <xdr:nvPicPr>
        <xdr:cNvPr id="1229" name="ASBBig">
          <a:extLst>
            <a:ext uri="{FF2B5EF4-FFF2-40B4-BE49-F238E27FC236}">
              <a16:creationId xmlns:a16="http://schemas.microsoft.com/office/drawing/2014/main" id="{165985D0-EA91-DEE9-1704-6191D514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769620"/>
          <a:ext cx="7993380" cy="2293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205740</xdr:rowOff>
    </xdr:from>
    <xdr:to>
      <xdr:col>6</xdr:col>
      <xdr:colOff>15240</xdr:colOff>
      <xdr:row>5</xdr:row>
      <xdr:rowOff>91440</xdr:rowOff>
    </xdr:to>
    <xdr:pic>
      <xdr:nvPicPr>
        <xdr:cNvPr id="10425" name="ASBSmall">
          <a:extLst>
            <a:ext uri="{FF2B5EF4-FFF2-40B4-BE49-F238E27FC236}">
              <a16:creationId xmlns:a16="http://schemas.microsoft.com/office/drawing/2014/main" id="{AE6DF75B-3FBF-6BE1-D3D2-D813DE1A0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5740"/>
          <a:ext cx="40005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655320</xdr:colOff>
      <xdr:row>4</xdr:row>
      <xdr:rowOff>137160</xdr:rowOff>
    </xdr:to>
    <xdr:pic>
      <xdr:nvPicPr>
        <xdr:cNvPr id="50357" name="ASBSmall">
          <a:extLst>
            <a:ext uri="{FF2B5EF4-FFF2-40B4-BE49-F238E27FC236}">
              <a16:creationId xmlns:a16="http://schemas.microsoft.com/office/drawing/2014/main" id="{9B160022-6145-3A55-BD9D-251DFFB83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0812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91440</xdr:rowOff>
    </xdr:from>
    <xdr:to>
      <xdr:col>5</xdr:col>
      <xdr:colOff>655320</xdr:colOff>
      <xdr:row>5</xdr:row>
      <xdr:rowOff>213360</xdr:rowOff>
    </xdr:to>
    <xdr:pic>
      <xdr:nvPicPr>
        <xdr:cNvPr id="51380" name="ASBSmall">
          <a:extLst>
            <a:ext uri="{FF2B5EF4-FFF2-40B4-BE49-F238E27FC236}">
              <a16:creationId xmlns:a16="http://schemas.microsoft.com/office/drawing/2014/main" id="{F48333F4-599D-29C4-0CE2-F05BFC1BA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280"/>
          <a:ext cx="4008120" cy="1097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655320</xdr:colOff>
      <xdr:row>5</xdr:row>
      <xdr:rowOff>152400</xdr:rowOff>
    </xdr:to>
    <xdr:pic>
      <xdr:nvPicPr>
        <xdr:cNvPr id="125097" name="ASBSmall">
          <a:extLst>
            <a:ext uri="{FF2B5EF4-FFF2-40B4-BE49-F238E27FC236}">
              <a16:creationId xmlns:a16="http://schemas.microsoft.com/office/drawing/2014/main" id="{45C10B0B-9B58-3321-AD58-60D221184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0812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655320</xdr:colOff>
      <xdr:row>4</xdr:row>
      <xdr:rowOff>137160</xdr:rowOff>
    </xdr:to>
    <xdr:pic>
      <xdr:nvPicPr>
        <xdr:cNvPr id="126122" name="ASBSmall">
          <a:extLst>
            <a:ext uri="{FF2B5EF4-FFF2-40B4-BE49-F238E27FC236}">
              <a16:creationId xmlns:a16="http://schemas.microsoft.com/office/drawing/2014/main" id="{756F076E-93DF-7507-63A1-D6D518BE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0812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518160</xdr:colOff>
      <xdr:row>4</xdr:row>
      <xdr:rowOff>137160</xdr:rowOff>
    </xdr:to>
    <xdr:pic>
      <xdr:nvPicPr>
        <xdr:cNvPr id="14520" name="ASBSmall">
          <a:extLst>
            <a:ext uri="{FF2B5EF4-FFF2-40B4-BE49-F238E27FC236}">
              <a16:creationId xmlns:a16="http://schemas.microsoft.com/office/drawing/2014/main" id="{328E3CEE-5B9A-4F27-CF92-842632DF8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99288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655320</xdr:colOff>
      <xdr:row>4</xdr:row>
      <xdr:rowOff>137160</xdr:rowOff>
    </xdr:to>
    <xdr:pic>
      <xdr:nvPicPr>
        <xdr:cNvPr id="15547" name="ASBSmall">
          <a:extLst>
            <a:ext uri="{FF2B5EF4-FFF2-40B4-BE49-F238E27FC236}">
              <a16:creationId xmlns:a16="http://schemas.microsoft.com/office/drawing/2014/main" id="{259784EB-FC9C-8D6C-615A-EABB2A4DD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0812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655320</xdr:colOff>
      <xdr:row>4</xdr:row>
      <xdr:rowOff>137160</xdr:rowOff>
    </xdr:to>
    <xdr:pic>
      <xdr:nvPicPr>
        <xdr:cNvPr id="54459" name="ASBSmall">
          <a:extLst>
            <a:ext uri="{FF2B5EF4-FFF2-40B4-BE49-F238E27FC236}">
              <a16:creationId xmlns:a16="http://schemas.microsoft.com/office/drawing/2014/main" id="{0A26F890-4870-17B7-9CDE-BD56F959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0812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45720</xdr:rowOff>
    </xdr:from>
    <xdr:to>
      <xdr:col>5</xdr:col>
      <xdr:colOff>655320</xdr:colOff>
      <xdr:row>4</xdr:row>
      <xdr:rowOff>175260</xdr:rowOff>
    </xdr:to>
    <xdr:pic>
      <xdr:nvPicPr>
        <xdr:cNvPr id="111982" name="ASBSmall">
          <a:extLst>
            <a:ext uri="{FF2B5EF4-FFF2-40B4-BE49-F238E27FC236}">
              <a16:creationId xmlns:a16="http://schemas.microsoft.com/office/drawing/2014/main" id="{49B88535-5A10-5FBC-A7C4-16D35CCEC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45720"/>
          <a:ext cx="399288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6C06-9FE5-46BC-B0C4-7A755710E4DE}">
  <sheetPr codeName="Sheet11"/>
  <dimension ref="A1:Q335"/>
  <sheetViews>
    <sheetView tabSelected="1" topLeftCell="A19" workbookViewId="0">
      <selection activeCell="N29" sqref="N29"/>
    </sheetView>
  </sheetViews>
  <sheetFormatPr defaultRowHeight="13.2" x14ac:dyDescent="0.25"/>
  <cols>
    <col min="1" max="5" width="9.77734375" customWidth="1"/>
    <col min="6" max="6" width="9.77734375" style="105" customWidth="1"/>
    <col min="7" max="15" width="9.77734375" customWidth="1"/>
  </cols>
  <sheetData>
    <row r="1" spans="1:13" ht="15.75" customHeight="1" thickBot="1" x14ac:dyDescent="0.35">
      <c r="A1" s="5"/>
      <c r="B1" s="1"/>
      <c r="C1" s="1"/>
      <c r="D1" s="1"/>
      <c r="E1" s="1"/>
      <c r="F1" s="109"/>
      <c r="G1" s="39"/>
      <c r="H1" s="39"/>
      <c r="I1" s="25" t="s">
        <v>246</v>
      </c>
      <c r="J1" s="301"/>
      <c r="K1" s="302"/>
      <c r="L1" s="303"/>
    </row>
    <row r="2" spans="1:13" ht="15.75" customHeight="1" thickBot="1" x14ac:dyDescent="0.35">
      <c r="A2" s="61"/>
      <c r="B2" s="1"/>
      <c r="C2" s="1"/>
      <c r="D2" s="1"/>
      <c r="E2" s="1"/>
      <c r="F2" s="109"/>
      <c r="G2" s="39"/>
      <c r="H2" s="39"/>
      <c r="I2" s="25" t="s">
        <v>247</v>
      </c>
      <c r="J2" s="301"/>
      <c r="K2" s="302"/>
      <c r="L2" s="303"/>
    </row>
    <row r="3" spans="1:13" ht="15.75" customHeight="1" thickBot="1" x14ac:dyDescent="0.35">
      <c r="A3" s="61"/>
      <c r="C3" s="1"/>
      <c r="D3" s="26"/>
      <c r="E3" s="27"/>
      <c r="F3" s="110"/>
      <c r="G3" s="27"/>
      <c r="H3" s="43"/>
      <c r="I3" s="26" t="s">
        <v>248</v>
      </c>
      <c r="J3" s="301"/>
      <c r="K3" s="302"/>
      <c r="L3" s="303"/>
      <c r="M3" s="28"/>
    </row>
    <row r="4" spans="1:13" s="66" customFormat="1" ht="14.1" customHeight="1" x14ac:dyDescent="0.25">
      <c r="A4" s="65"/>
      <c r="B4" s="74"/>
      <c r="C4" s="75"/>
      <c r="D4" s="75"/>
      <c r="E4" s="75"/>
      <c r="F4" s="111"/>
      <c r="G4" s="75"/>
      <c r="H4" s="75"/>
      <c r="I4" s="75"/>
      <c r="J4" s="75"/>
      <c r="K4" s="75"/>
      <c r="L4" s="75"/>
      <c r="M4" s="76"/>
    </row>
    <row r="5" spans="1:13" ht="14.1" customHeight="1" x14ac:dyDescent="0.3">
      <c r="A5" s="5"/>
      <c r="B5" s="77"/>
      <c r="C5" s="78"/>
      <c r="D5" s="78"/>
      <c r="E5" s="78"/>
      <c r="F5" s="112"/>
      <c r="G5" s="78"/>
      <c r="H5" s="78"/>
      <c r="I5" s="78"/>
      <c r="J5" s="78"/>
      <c r="K5" s="78"/>
      <c r="L5" s="78"/>
      <c r="M5" s="79"/>
    </row>
    <row r="6" spans="1:13" ht="14.1" customHeight="1" x14ac:dyDescent="0.3">
      <c r="A6" s="62"/>
      <c r="B6" s="77"/>
      <c r="C6" s="78"/>
      <c r="D6" s="78"/>
      <c r="E6" s="78"/>
      <c r="F6" s="112"/>
      <c r="G6" s="78"/>
      <c r="H6" s="78"/>
      <c r="I6" s="78"/>
      <c r="J6" s="78"/>
      <c r="K6" s="78"/>
      <c r="L6" s="78"/>
      <c r="M6" s="79"/>
    </row>
    <row r="7" spans="1:13" ht="14.1" customHeight="1" x14ac:dyDescent="0.3">
      <c r="A7" s="5"/>
      <c r="B7" s="77"/>
      <c r="C7" s="78"/>
      <c r="D7" s="78"/>
      <c r="E7" s="78"/>
      <c r="F7" s="112"/>
      <c r="G7" s="78"/>
      <c r="H7" s="78"/>
      <c r="I7" s="78"/>
      <c r="J7" s="78"/>
      <c r="K7" s="78"/>
      <c r="L7" s="78"/>
      <c r="M7" s="79"/>
    </row>
    <row r="8" spans="1:13" ht="14.1" customHeight="1" x14ac:dyDescent="0.3">
      <c r="A8" s="5"/>
      <c r="B8" s="77"/>
      <c r="C8" s="78"/>
      <c r="D8" s="78"/>
      <c r="E8" s="78"/>
      <c r="F8" s="112"/>
      <c r="G8" s="78"/>
      <c r="H8" s="78"/>
      <c r="I8" s="78"/>
      <c r="J8" s="78"/>
      <c r="K8" s="78"/>
      <c r="L8" s="78"/>
      <c r="M8" s="79"/>
    </row>
    <row r="9" spans="1:13" ht="14.1" customHeight="1" x14ac:dyDescent="0.3">
      <c r="A9" s="5"/>
      <c r="B9" s="77"/>
      <c r="C9" s="78"/>
      <c r="D9" s="78"/>
      <c r="E9" s="78"/>
      <c r="F9" s="112"/>
      <c r="G9" s="78"/>
      <c r="H9" s="78"/>
      <c r="I9" s="78"/>
      <c r="J9" s="78"/>
      <c r="K9" s="78"/>
      <c r="L9" s="78"/>
      <c r="M9" s="79"/>
    </row>
    <row r="10" spans="1:13" ht="14.1" customHeight="1" x14ac:dyDescent="0.3">
      <c r="A10" s="5"/>
      <c r="B10" s="77"/>
      <c r="C10" s="78"/>
      <c r="D10" s="78"/>
      <c r="E10" s="78"/>
      <c r="F10" s="112"/>
      <c r="G10" s="78"/>
      <c r="H10" s="78"/>
      <c r="I10" s="78"/>
      <c r="J10" s="78"/>
      <c r="K10" s="78"/>
      <c r="L10" s="78"/>
      <c r="M10" s="79"/>
    </row>
    <row r="11" spans="1:13" ht="14.1" customHeight="1" x14ac:dyDescent="0.25">
      <c r="A11" s="12"/>
      <c r="B11" s="77"/>
      <c r="C11" s="78"/>
      <c r="D11" s="78"/>
      <c r="E11" s="78"/>
      <c r="F11" s="112"/>
      <c r="G11" s="78"/>
      <c r="H11" s="78"/>
      <c r="I11" s="78"/>
      <c r="J11" s="78"/>
      <c r="K11" s="78"/>
      <c r="L11" s="78"/>
      <c r="M11" s="79"/>
    </row>
    <row r="12" spans="1:13" ht="14.1" customHeight="1" x14ac:dyDescent="0.25">
      <c r="A12" s="12"/>
      <c r="B12" s="77"/>
      <c r="C12" s="78"/>
      <c r="D12" s="78"/>
      <c r="E12" s="78"/>
      <c r="F12" s="112"/>
      <c r="G12" s="78"/>
      <c r="H12" s="78"/>
      <c r="I12" s="78"/>
      <c r="J12" s="78"/>
      <c r="K12" s="78"/>
      <c r="L12" s="78"/>
      <c r="M12" s="79"/>
    </row>
    <row r="13" spans="1:13" ht="14.1" customHeight="1" x14ac:dyDescent="0.25">
      <c r="A13" s="14"/>
      <c r="B13" s="77"/>
      <c r="C13" s="78"/>
      <c r="D13" s="78"/>
      <c r="E13" s="78"/>
      <c r="F13" s="112"/>
      <c r="G13" s="78"/>
      <c r="H13" s="78"/>
      <c r="I13" s="78"/>
      <c r="J13" s="78"/>
      <c r="K13" s="78"/>
      <c r="L13" s="78"/>
      <c r="M13" s="79"/>
    </row>
    <row r="14" spans="1:13" ht="14.1" customHeight="1" x14ac:dyDescent="0.25">
      <c r="A14" s="12"/>
      <c r="B14" s="77"/>
      <c r="C14" s="78"/>
      <c r="D14" s="78"/>
      <c r="E14" s="78"/>
      <c r="F14" s="112"/>
      <c r="G14" s="78"/>
      <c r="H14" s="78"/>
      <c r="I14" s="78"/>
      <c r="J14" s="78"/>
      <c r="K14" s="78"/>
      <c r="L14" s="78"/>
      <c r="M14" s="79"/>
    </row>
    <row r="15" spans="1:13" ht="14.1" customHeight="1" x14ac:dyDescent="0.25">
      <c r="A15" s="15"/>
      <c r="B15" s="77"/>
      <c r="C15" s="78"/>
      <c r="D15" s="78"/>
      <c r="E15" s="78"/>
      <c r="F15" s="112"/>
      <c r="G15" s="78"/>
      <c r="H15" s="78"/>
      <c r="I15" s="78"/>
      <c r="J15" s="78"/>
      <c r="K15" s="78"/>
      <c r="L15" s="78"/>
      <c r="M15" s="79"/>
    </row>
    <row r="16" spans="1:13" ht="14.1" customHeight="1" x14ac:dyDescent="0.25">
      <c r="A16" s="11"/>
      <c r="B16" s="77"/>
      <c r="C16" s="78"/>
      <c r="D16" s="78"/>
      <c r="E16" s="78"/>
      <c r="F16" s="112"/>
      <c r="G16" s="78"/>
      <c r="H16" s="78"/>
      <c r="I16" s="78"/>
      <c r="J16" s="78"/>
      <c r="K16" s="78"/>
      <c r="L16" s="78"/>
      <c r="M16" s="79"/>
    </row>
    <row r="17" spans="1:14" ht="14.1" customHeight="1" x14ac:dyDescent="0.25">
      <c r="A17" s="11"/>
      <c r="B17" s="77"/>
      <c r="C17" s="78"/>
      <c r="D17" s="78"/>
      <c r="E17" s="78"/>
      <c r="F17" s="112"/>
      <c r="G17" s="78"/>
      <c r="H17" s="78"/>
      <c r="I17" s="78"/>
      <c r="J17" s="78"/>
      <c r="K17" s="78"/>
      <c r="L17" s="78"/>
      <c r="M17" s="79"/>
    </row>
    <row r="18" spans="1:14" ht="14.1" customHeight="1" x14ac:dyDescent="0.25">
      <c r="A18" s="11"/>
      <c r="B18" s="77"/>
      <c r="C18" s="78"/>
      <c r="D18" s="78"/>
      <c r="E18" s="78"/>
      <c r="F18" s="112"/>
      <c r="G18" s="78"/>
      <c r="H18" s="78"/>
      <c r="I18" s="78"/>
      <c r="J18" s="78"/>
      <c r="K18" s="78"/>
      <c r="L18" s="78"/>
      <c r="M18" s="79"/>
    </row>
    <row r="19" spans="1:14" ht="14.1" customHeight="1" x14ac:dyDescent="0.25">
      <c r="A19" s="11"/>
      <c r="B19" s="77"/>
      <c r="C19" s="78"/>
      <c r="D19" s="78"/>
      <c r="E19" s="78"/>
      <c r="F19" s="112"/>
      <c r="G19" s="78"/>
      <c r="H19" s="78"/>
      <c r="I19" s="78"/>
      <c r="J19" s="78"/>
      <c r="K19" s="78"/>
      <c r="L19" s="78"/>
      <c r="M19" s="79"/>
    </row>
    <row r="20" spans="1:14" ht="14.1" customHeight="1" x14ac:dyDescent="0.25">
      <c r="A20" s="11"/>
      <c r="B20" s="77"/>
      <c r="C20" s="78"/>
      <c r="D20" s="78"/>
      <c r="E20" s="78"/>
      <c r="F20" s="112"/>
      <c r="G20" s="78"/>
      <c r="H20" s="78"/>
      <c r="I20" s="78"/>
      <c r="J20" s="78"/>
      <c r="K20" s="78"/>
      <c r="L20" s="78"/>
      <c r="M20" s="79"/>
    </row>
    <row r="21" spans="1:14" ht="14.1" customHeight="1" thickBot="1" x14ac:dyDescent="0.3">
      <c r="A21" s="22"/>
      <c r="B21" s="80"/>
      <c r="C21" s="81"/>
      <c r="D21" s="81"/>
      <c r="E21" s="81"/>
      <c r="F21" s="113"/>
      <c r="G21" s="81"/>
      <c r="H21" s="81"/>
      <c r="I21" s="81"/>
      <c r="J21" s="81"/>
      <c r="K21" s="81"/>
      <c r="L21" s="81"/>
      <c r="M21" s="82"/>
    </row>
    <row r="22" spans="1:14" ht="23.25" customHeight="1" x14ac:dyDescent="0.25">
      <c r="A22" s="23"/>
      <c r="I22" s="40"/>
      <c r="J22" s="320" t="s">
        <v>277</v>
      </c>
      <c r="K22" s="320"/>
      <c r="L22" s="321"/>
      <c r="M22" s="63">
        <v>10</v>
      </c>
    </row>
    <row r="23" spans="1:14" ht="15.75" customHeight="1" x14ac:dyDescent="0.25">
      <c r="A23" s="44"/>
      <c r="B23" s="42"/>
      <c r="C23" s="42"/>
      <c r="D23" s="42"/>
      <c r="E23" s="42"/>
      <c r="F23" s="114"/>
      <c r="G23" s="42"/>
      <c r="H23" s="42"/>
      <c r="I23" s="42"/>
      <c r="J23" s="42"/>
      <c r="K23" s="42"/>
      <c r="L23" s="46"/>
      <c r="M23" s="47"/>
      <c r="N23" s="42"/>
    </row>
    <row r="24" spans="1:14" ht="15.75" customHeight="1" x14ac:dyDescent="0.3">
      <c r="A24" s="45"/>
      <c r="B24" s="47"/>
      <c r="C24" s="48"/>
      <c r="D24" s="48"/>
      <c r="E24" s="319" t="s">
        <v>249</v>
      </c>
      <c r="F24" s="319"/>
      <c r="G24" s="317" t="s">
        <v>1792</v>
      </c>
      <c r="H24" s="318"/>
      <c r="I24" s="318"/>
      <c r="J24" s="318"/>
      <c r="K24" s="318"/>
      <c r="L24" s="318"/>
      <c r="M24" s="60"/>
      <c r="N24" s="42"/>
    </row>
    <row r="25" spans="1:14" ht="15.75" customHeight="1" x14ac:dyDescent="0.3">
      <c r="A25" s="44"/>
      <c r="B25" s="42"/>
      <c r="C25" s="48"/>
      <c r="D25" s="48"/>
      <c r="E25" s="48"/>
      <c r="F25" s="115"/>
      <c r="G25" s="64"/>
      <c r="H25" s="64"/>
      <c r="I25" s="64"/>
      <c r="J25" s="64"/>
      <c r="K25" s="64"/>
      <c r="L25" s="64"/>
      <c r="M25" s="42"/>
      <c r="N25" s="42"/>
    </row>
    <row r="26" spans="1:14" ht="15.75" customHeight="1" x14ac:dyDescent="0.3">
      <c r="D26" s="306" t="s">
        <v>250</v>
      </c>
      <c r="E26" s="306"/>
      <c r="F26" s="306"/>
      <c r="G26" s="307"/>
      <c r="H26" s="308"/>
      <c r="I26" s="308"/>
      <c r="J26" s="308"/>
      <c r="K26" s="308"/>
      <c r="L26" s="309"/>
      <c r="M26" s="47"/>
      <c r="N26" s="42"/>
    </row>
    <row r="27" spans="1:14" ht="15.75" customHeight="1" x14ac:dyDescent="0.3">
      <c r="A27" s="49"/>
      <c r="D27" s="58"/>
      <c r="E27" s="305" t="s">
        <v>251</v>
      </c>
      <c r="F27" s="306"/>
      <c r="G27" s="322">
        <v>45985</v>
      </c>
      <c r="H27" s="323"/>
      <c r="I27" s="323"/>
      <c r="J27" s="323"/>
      <c r="K27" s="323"/>
      <c r="L27" s="324"/>
      <c r="M27" s="47"/>
      <c r="N27" s="42"/>
    </row>
    <row r="28" spans="1:14" ht="15.75" customHeight="1" x14ac:dyDescent="0.3">
      <c r="A28" s="49"/>
      <c r="D28" s="59"/>
      <c r="E28" s="304" t="s">
        <v>243</v>
      </c>
      <c r="F28" s="304"/>
      <c r="G28" s="314"/>
      <c r="H28" s="315"/>
      <c r="I28" s="315"/>
      <c r="J28" s="315"/>
      <c r="K28" s="315"/>
      <c r="L28" s="316"/>
      <c r="M28" s="47"/>
      <c r="N28" s="42"/>
    </row>
    <row r="29" spans="1:14" ht="15.75" customHeight="1" x14ac:dyDescent="0.3">
      <c r="A29" s="30"/>
      <c r="D29" s="59"/>
      <c r="E29" s="305" t="s">
        <v>252</v>
      </c>
      <c r="F29" s="306"/>
      <c r="G29" s="314"/>
      <c r="H29" s="315"/>
      <c r="I29" s="315"/>
      <c r="J29" s="315"/>
      <c r="K29" s="315"/>
      <c r="L29" s="316"/>
      <c r="M29" s="47"/>
      <c r="N29" s="42"/>
    </row>
    <row r="30" spans="1:14" ht="15.75" customHeight="1" x14ac:dyDescent="0.3">
      <c r="D30" s="305" t="s">
        <v>244</v>
      </c>
      <c r="E30" s="305"/>
      <c r="F30" s="306"/>
      <c r="G30" s="314"/>
      <c r="H30" s="315"/>
      <c r="I30" s="315"/>
      <c r="J30" s="315"/>
      <c r="K30" s="315"/>
      <c r="L30" s="316"/>
      <c r="M30" s="47"/>
      <c r="N30" s="42"/>
    </row>
    <row r="31" spans="1:14" ht="15.75" customHeight="1" x14ac:dyDescent="0.3">
      <c r="A31" s="49"/>
      <c r="B31" s="31"/>
      <c r="C31" s="25" t="s">
        <v>253</v>
      </c>
      <c r="D31" s="59"/>
      <c r="E31" s="59"/>
      <c r="F31" s="116"/>
      <c r="G31" s="314"/>
      <c r="H31" s="315"/>
      <c r="I31" s="315"/>
      <c r="J31" s="315"/>
      <c r="K31" s="315"/>
      <c r="L31" s="316"/>
      <c r="M31" s="42"/>
      <c r="N31" s="42"/>
    </row>
    <row r="32" spans="1:14" ht="15.75" customHeight="1" x14ac:dyDescent="0.3">
      <c r="A32" s="45"/>
      <c r="D32" s="59"/>
      <c r="E32" s="305" t="s">
        <v>245</v>
      </c>
      <c r="F32" s="306"/>
      <c r="G32" s="314" t="s">
        <v>1714</v>
      </c>
      <c r="H32" s="315"/>
      <c r="I32" s="315"/>
      <c r="J32" s="315"/>
      <c r="K32" s="315"/>
      <c r="L32" s="316"/>
      <c r="M32" s="42"/>
      <c r="N32" s="42"/>
    </row>
    <row r="33" spans="1:14" ht="15.75" customHeight="1" x14ac:dyDescent="0.3">
      <c r="A33" s="44"/>
      <c r="B33" s="42"/>
      <c r="C33" s="42"/>
      <c r="D33" s="50"/>
      <c r="E33" s="325" t="s">
        <v>274</v>
      </c>
      <c r="F33" s="326"/>
      <c r="G33" s="327"/>
      <c r="H33" s="328"/>
      <c r="I33" s="328"/>
      <c r="J33" s="328"/>
      <c r="K33" s="328"/>
      <c r="L33" s="329"/>
      <c r="M33" s="50"/>
      <c r="N33" s="42"/>
    </row>
    <row r="34" spans="1:14" ht="15.75" customHeight="1" x14ac:dyDescent="0.3">
      <c r="A34" s="45"/>
      <c r="B34" s="32" t="s">
        <v>254</v>
      </c>
      <c r="C34" s="47"/>
      <c r="D34" s="33"/>
      <c r="E34" s="33"/>
      <c r="F34" s="117"/>
      <c r="G34" s="33"/>
      <c r="H34" s="33"/>
      <c r="I34" s="52"/>
      <c r="J34" s="52"/>
      <c r="K34" s="52"/>
      <c r="L34" s="53"/>
      <c r="M34" s="50"/>
      <c r="N34" s="42"/>
    </row>
    <row r="35" spans="1:14" ht="15.75" customHeight="1" x14ac:dyDescent="0.3">
      <c r="A35" s="44"/>
      <c r="B35" s="34"/>
      <c r="C35" s="34"/>
      <c r="D35" s="34"/>
      <c r="E35" s="34"/>
      <c r="F35" s="118"/>
      <c r="G35" s="34"/>
      <c r="H35" s="34"/>
      <c r="I35" s="54"/>
      <c r="J35" s="50"/>
      <c r="K35" s="50"/>
      <c r="L35" s="51"/>
      <c r="M35" s="50"/>
      <c r="N35" s="42"/>
    </row>
    <row r="36" spans="1:14" ht="15.75" customHeight="1" x14ac:dyDescent="0.3">
      <c r="A36" s="44"/>
      <c r="B36" s="35"/>
      <c r="C36" s="35"/>
      <c r="D36" s="35"/>
      <c r="E36" s="35"/>
      <c r="F36" s="119"/>
      <c r="G36" s="35"/>
      <c r="H36" s="35"/>
      <c r="I36" s="55"/>
      <c r="J36" s="50"/>
      <c r="K36" s="310" t="s">
        <v>255</v>
      </c>
      <c r="L36" s="311"/>
      <c r="M36" s="73" t="s">
        <v>1714</v>
      </c>
      <c r="N36" s="42"/>
    </row>
    <row r="37" spans="1:14" ht="15.75" customHeight="1" x14ac:dyDescent="0.3">
      <c r="A37" s="49"/>
      <c r="B37" s="54"/>
      <c r="C37" s="54"/>
      <c r="D37" s="54"/>
      <c r="E37" s="54"/>
      <c r="F37" s="120"/>
      <c r="G37" s="54"/>
      <c r="H37" s="54"/>
      <c r="I37" s="54"/>
      <c r="J37" s="50"/>
      <c r="K37" s="312" t="s">
        <v>256</v>
      </c>
      <c r="L37" s="313"/>
      <c r="M37" s="73" t="s">
        <v>1714</v>
      </c>
      <c r="N37" s="42"/>
    </row>
    <row r="38" spans="1:14" ht="15.75" customHeight="1" x14ac:dyDescent="0.25">
      <c r="A38" s="49"/>
      <c r="B38" s="47"/>
      <c r="C38" s="47"/>
      <c r="D38" s="47"/>
      <c r="E38" s="47"/>
      <c r="F38" s="121"/>
      <c r="G38" s="47"/>
      <c r="H38" s="47"/>
      <c r="I38" s="47"/>
      <c r="J38" s="42"/>
      <c r="K38" s="56"/>
      <c r="L38" s="57"/>
      <c r="M38" s="47"/>
      <c r="N38" s="42"/>
    </row>
    <row r="39" spans="1:14" ht="15.6" x14ac:dyDescent="0.3">
      <c r="A39" s="13"/>
      <c r="J39" s="25"/>
      <c r="K39" s="1"/>
      <c r="L39" s="29"/>
      <c r="M39" s="1"/>
    </row>
    <row r="40" spans="1:14" ht="15.6" x14ac:dyDescent="0.3">
      <c r="A40" s="24"/>
      <c r="B40" s="24"/>
      <c r="C40" s="13"/>
      <c r="D40" s="19"/>
      <c r="E40" s="16"/>
      <c r="F40" s="122"/>
      <c r="G40" s="17"/>
      <c r="H40" s="18"/>
      <c r="I40" s="20"/>
      <c r="J40" s="21"/>
      <c r="K40" s="21"/>
      <c r="L40" s="13"/>
      <c r="M40" s="1"/>
    </row>
    <row r="41" spans="1:14" ht="15.6" x14ac:dyDescent="0.3">
      <c r="A41" s="13"/>
      <c r="B41" s="13"/>
      <c r="C41" s="13"/>
      <c r="D41" s="19"/>
      <c r="E41" s="16"/>
      <c r="F41" s="122"/>
      <c r="G41" s="17"/>
      <c r="H41" s="18"/>
      <c r="I41" s="20"/>
      <c r="J41" s="21"/>
      <c r="K41" s="21"/>
      <c r="L41" s="13"/>
      <c r="M41" s="1"/>
    </row>
    <row r="42" spans="1:14" ht="15.6" x14ac:dyDescent="0.3">
      <c r="A42" s="13"/>
      <c r="B42" s="13"/>
      <c r="C42" s="13"/>
      <c r="D42" s="19"/>
      <c r="E42" s="16"/>
      <c r="F42" s="122"/>
      <c r="G42" s="17"/>
      <c r="H42" s="18"/>
      <c r="I42" s="20"/>
      <c r="J42" s="21"/>
      <c r="K42" s="21"/>
      <c r="L42" s="13"/>
      <c r="M42" s="1"/>
    </row>
    <row r="43" spans="1:14" ht="15.6" x14ac:dyDescent="0.3">
      <c r="A43" s="13"/>
      <c r="B43" s="13"/>
      <c r="C43" s="13"/>
      <c r="D43" s="19"/>
      <c r="E43" s="16"/>
      <c r="F43" s="122"/>
      <c r="G43" s="17"/>
      <c r="H43" s="18"/>
      <c r="I43" s="20"/>
      <c r="J43" s="21"/>
      <c r="K43" s="21"/>
      <c r="L43" s="13"/>
      <c r="M43" s="1"/>
    </row>
    <row r="44" spans="1:14" ht="15.6" x14ac:dyDescent="0.25">
      <c r="A44" s="4"/>
      <c r="B44" s="9"/>
      <c r="C44" s="9"/>
      <c r="D44" s="10"/>
      <c r="E44" s="7"/>
      <c r="F44" s="123"/>
      <c r="G44" s="8"/>
      <c r="H44" s="3"/>
      <c r="I44" s="6"/>
      <c r="J44" s="1"/>
      <c r="K44" s="6"/>
      <c r="L44" s="6"/>
      <c r="M44" s="1"/>
    </row>
    <row r="45" spans="1:14" ht="15.6" x14ac:dyDescent="0.25">
      <c r="A45" s="300"/>
      <c r="B45" s="300"/>
      <c r="C45" s="9"/>
      <c r="D45" s="10"/>
      <c r="E45" s="7"/>
      <c r="F45" s="123"/>
      <c r="G45" s="8"/>
      <c r="H45" s="3"/>
      <c r="I45" s="6"/>
      <c r="J45" s="1"/>
      <c r="K45" s="6"/>
      <c r="L45" s="6"/>
      <c r="M45" s="1"/>
    </row>
    <row r="46" spans="1:14" x14ac:dyDescent="0.25">
      <c r="A46" s="1"/>
      <c r="B46" s="1"/>
      <c r="C46" s="1"/>
      <c r="D46" s="1"/>
      <c r="E46" s="1"/>
      <c r="F46" s="124"/>
      <c r="G46" s="1"/>
      <c r="H46" s="1"/>
      <c r="I46" s="1"/>
      <c r="J46" s="1"/>
      <c r="K46" s="1"/>
      <c r="L46" s="1"/>
      <c r="M46" s="1"/>
    </row>
    <row r="149" spans="1:17" x14ac:dyDescent="0.25">
      <c r="M149" s="39"/>
      <c r="P149" s="39"/>
    </row>
    <row r="150" spans="1:17" x14ac:dyDescent="0.25">
      <c r="A150" s="39"/>
      <c r="G150" s="39"/>
      <c r="J150" s="39"/>
      <c r="M150" s="39"/>
      <c r="P150" s="130"/>
      <c r="Q150" s="134"/>
    </row>
    <row r="151" spans="1:17" x14ac:dyDescent="0.25">
      <c r="A151" s="39"/>
      <c r="G151" s="39"/>
      <c r="J151" s="39"/>
      <c r="M151" s="39"/>
      <c r="P151" s="130"/>
      <c r="Q151" s="134"/>
    </row>
    <row r="152" spans="1:17" x14ac:dyDescent="0.25">
      <c r="A152" s="39"/>
      <c r="G152" s="39"/>
      <c r="J152" s="39"/>
      <c r="M152" s="39"/>
      <c r="P152" s="130"/>
      <c r="Q152" s="134"/>
    </row>
    <row r="153" spans="1:17" x14ac:dyDescent="0.25">
      <c r="A153" s="39"/>
      <c r="G153" s="39"/>
      <c r="J153" s="39"/>
      <c r="M153" s="39"/>
      <c r="P153" s="130"/>
      <c r="Q153" s="134"/>
    </row>
    <row r="154" spans="1:17" x14ac:dyDescent="0.25">
      <c r="P154" s="130"/>
      <c r="Q154" s="134"/>
    </row>
    <row r="155" spans="1:17" x14ac:dyDescent="0.25">
      <c r="A155" s="39"/>
      <c r="G155" s="39"/>
      <c r="J155" s="39"/>
      <c r="M155" s="39"/>
      <c r="P155" s="130"/>
      <c r="Q155" s="134"/>
    </row>
    <row r="156" spans="1:17" x14ac:dyDescent="0.25">
      <c r="A156" s="39"/>
      <c r="G156" s="39"/>
      <c r="J156" s="39"/>
      <c r="M156" s="39"/>
      <c r="P156" s="130"/>
      <c r="Q156" s="134"/>
    </row>
    <row r="157" spans="1:17" x14ac:dyDescent="0.25">
      <c r="P157" s="130"/>
      <c r="Q157" s="134"/>
    </row>
    <row r="158" spans="1:17" x14ac:dyDescent="0.25">
      <c r="A158" s="39"/>
      <c r="G158" s="39"/>
      <c r="J158" s="39"/>
      <c r="M158" s="39"/>
      <c r="P158" s="130"/>
      <c r="Q158" s="134"/>
    </row>
    <row r="159" spans="1:17" x14ac:dyDescent="0.25">
      <c r="A159" s="39"/>
      <c r="G159" s="39"/>
      <c r="J159" s="39"/>
      <c r="M159" s="39"/>
      <c r="P159" s="130"/>
      <c r="Q159" s="134"/>
    </row>
    <row r="160" spans="1:17" x14ac:dyDescent="0.25">
      <c r="A160" s="39"/>
      <c r="G160" s="39"/>
      <c r="J160" s="39"/>
      <c r="P160" s="130"/>
      <c r="Q160" s="134"/>
    </row>
    <row r="161" spans="1:17" x14ac:dyDescent="0.25">
      <c r="P161" s="130"/>
      <c r="Q161" s="134"/>
    </row>
    <row r="162" spans="1:17" x14ac:dyDescent="0.25">
      <c r="A162" s="39"/>
      <c r="G162" s="39"/>
      <c r="J162" s="39"/>
      <c r="P162" s="131"/>
      <c r="Q162" s="134"/>
    </row>
    <row r="163" spans="1:17" x14ac:dyDescent="0.25">
      <c r="A163" s="39"/>
      <c r="G163" s="39"/>
      <c r="J163" s="39"/>
      <c r="P163" s="131"/>
      <c r="Q163" s="134"/>
    </row>
    <row r="164" spans="1:17" x14ac:dyDescent="0.25">
      <c r="A164" s="39"/>
      <c r="G164" s="39"/>
      <c r="J164" s="39"/>
      <c r="P164" s="130"/>
      <c r="Q164" s="134"/>
    </row>
    <row r="165" spans="1:17" x14ac:dyDescent="0.25">
      <c r="P165" s="130"/>
      <c r="Q165" s="134"/>
    </row>
    <row r="166" spans="1:17" x14ac:dyDescent="0.25">
      <c r="A166" s="39"/>
      <c r="G166" s="39"/>
      <c r="J166" s="39"/>
      <c r="P166" s="130"/>
      <c r="Q166" s="134"/>
    </row>
    <row r="167" spans="1:17" x14ac:dyDescent="0.25">
      <c r="A167" s="39"/>
      <c r="G167" s="39"/>
      <c r="J167" s="39"/>
      <c r="P167" s="130"/>
      <c r="Q167" s="134"/>
    </row>
    <row r="168" spans="1:17" x14ac:dyDescent="0.25">
      <c r="A168" s="39"/>
      <c r="G168" s="39"/>
      <c r="J168" s="39"/>
      <c r="P168" s="131"/>
      <c r="Q168" s="134"/>
    </row>
    <row r="169" spans="1:17" x14ac:dyDescent="0.25">
      <c r="P169" s="130"/>
      <c r="Q169" s="134"/>
    </row>
    <row r="170" spans="1:17" x14ac:dyDescent="0.25">
      <c r="A170" s="39"/>
      <c r="G170" s="39"/>
      <c r="J170" s="39"/>
      <c r="P170" s="130"/>
      <c r="Q170" s="134"/>
    </row>
    <row r="171" spans="1:17" x14ac:dyDescent="0.25">
      <c r="A171" s="39"/>
      <c r="G171" s="39"/>
      <c r="J171" s="39"/>
      <c r="P171" s="130"/>
      <c r="Q171" s="134"/>
    </row>
    <row r="172" spans="1:17" x14ac:dyDescent="0.25">
      <c r="A172" s="39"/>
      <c r="G172" s="39"/>
      <c r="J172" s="39"/>
      <c r="P172" s="130"/>
      <c r="Q172" s="134"/>
    </row>
    <row r="173" spans="1:17" x14ac:dyDescent="0.25">
      <c r="A173" s="39"/>
      <c r="G173" s="39"/>
      <c r="J173" s="39"/>
      <c r="P173" s="130"/>
      <c r="Q173" s="134"/>
    </row>
    <row r="174" spans="1:17" x14ac:dyDescent="0.25">
      <c r="A174" s="39"/>
      <c r="G174" s="39"/>
      <c r="J174" s="39"/>
      <c r="P174" s="130"/>
      <c r="Q174" s="134"/>
    </row>
    <row r="175" spans="1:17" x14ac:dyDescent="0.25">
      <c r="A175" s="39"/>
      <c r="G175" s="39"/>
      <c r="J175" s="39"/>
      <c r="P175" s="130"/>
      <c r="Q175" s="134"/>
    </row>
    <row r="176" spans="1:17" x14ac:dyDescent="0.25">
      <c r="A176" s="39"/>
      <c r="G176" s="39"/>
      <c r="J176" s="39"/>
      <c r="P176" s="130"/>
      <c r="Q176" s="134"/>
    </row>
    <row r="177" spans="1:17" x14ac:dyDescent="0.25">
      <c r="A177" s="39"/>
      <c r="G177" s="39"/>
      <c r="J177" s="39"/>
      <c r="P177" s="130"/>
      <c r="Q177" s="134"/>
    </row>
    <row r="178" spans="1:17" x14ac:dyDescent="0.25">
      <c r="P178" s="130"/>
      <c r="Q178" s="134"/>
    </row>
    <row r="179" spans="1:17" x14ac:dyDescent="0.25">
      <c r="P179" s="130"/>
      <c r="Q179" s="134"/>
    </row>
    <row r="180" spans="1:17" x14ac:dyDescent="0.25">
      <c r="P180" s="131"/>
      <c r="Q180" s="134"/>
    </row>
    <row r="181" spans="1:17" x14ac:dyDescent="0.25">
      <c r="P181" s="130"/>
      <c r="Q181" s="134"/>
    </row>
    <row r="182" spans="1:17" x14ac:dyDescent="0.25">
      <c r="H182" s="39"/>
      <c r="K182" s="39"/>
      <c r="P182" s="130"/>
      <c r="Q182" s="134"/>
    </row>
    <row r="183" spans="1:17" ht="14.4" x14ac:dyDescent="0.3">
      <c r="F183" s="109"/>
      <c r="H183" s="39"/>
      <c r="K183" s="126"/>
      <c r="P183" s="130"/>
      <c r="Q183" s="134"/>
    </row>
    <row r="184" spans="1:17" ht="14.4" x14ac:dyDescent="0.3">
      <c r="F184" s="109"/>
      <c r="H184" s="39"/>
      <c r="K184" s="125"/>
      <c r="P184" s="130"/>
      <c r="Q184" s="134"/>
    </row>
    <row r="185" spans="1:17" ht="14.4" x14ac:dyDescent="0.3">
      <c r="F185" s="109"/>
      <c r="H185" s="39"/>
      <c r="K185" s="125"/>
      <c r="P185" s="130"/>
      <c r="Q185" s="134"/>
    </row>
    <row r="186" spans="1:17" ht="14.4" x14ac:dyDescent="0.3">
      <c r="F186" s="109"/>
      <c r="H186" s="39"/>
      <c r="K186" s="125"/>
      <c r="P186" s="130"/>
      <c r="Q186" s="134"/>
    </row>
    <row r="187" spans="1:17" ht="14.4" x14ac:dyDescent="0.3">
      <c r="F187" s="109"/>
      <c r="K187" s="125"/>
      <c r="P187" s="130"/>
      <c r="Q187" s="134"/>
    </row>
    <row r="188" spans="1:17" ht="14.4" x14ac:dyDescent="0.3">
      <c r="F188" s="109"/>
      <c r="K188" s="125"/>
      <c r="P188" s="130"/>
      <c r="Q188" s="134"/>
    </row>
    <row r="189" spans="1:17" ht="14.4" x14ac:dyDescent="0.3">
      <c r="F189" s="109"/>
      <c r="H189" s="39"/>
      <c r="K189" s="125"/>
      <c r="P189" s="130"/>
      <c r="Q189" s="134"/>
    </row>
    <row r="190" spans="1:17" ht="14.4" x14ac:dyDescent="0.3">
      <c r="F190" s="109"/>
      <c r="H190" s="39"/>
      <c r="K190" s="125"/>
      <c r="P190" s="131"/>
      <c r="Q190" s="134"/>
    </row>
    <row r="191" spans="1:17" ht="14.4" x14ac:dyDescent="0.3">
      <c r="F191" s="109"/>
      <c r="H191" s="39"/>
      <c r="K191" s="125"/>
      <c r="P191" s="130"/>
      <c r="Q191" s="134"/>
    </row>
    <row r="192" spans="1:17" ht="14.4" x14ac:dyDescent="0.3">
      <c r="A192" s="39"/>
      <c r="F192" s="109"/>
      <c r="K192" s="125"/>
      <c r="P192" s="130"/>
      <c r="Q192" s="134"/>
    </row>
    <row r="193" spans="1:17" ht="14.4" x14ac:dyDescent="0.3">
      <c r="A193" s="127"/>
      <c r="F193" s="109"/>
      <c r="K193" s="125"/>
      <c r="P193" s="130"/>
      <c r="Q193" s="134"/>
    </row>
    <row r="194" spans="1:17" ht="14.4" x14ac:dyDescent="0.3">
      <c r="A194" s="127"/>
      <c r="F194" s="109"/>
      <c r="K194" s="125"/>
      <c r="P194" s="130"/>
      <c r="Q194" s="134"/>
    </row>
    <row r="195" spans="1:17" ht="14.4" x14ac:dyDescent="0.3">
      <c r="A195" s="127"/>
      <c r="F195" s="109"/>
      <c r="K195" s="125"/>
      <c r="P195" s="130"/>
      <c r="Q195" s="134"/>
    </row>
    <row r="196" spans="1:17" ht="14.4" x14ac:dyDescent="0.3">
      <c r="A196" s="127"/>
      <c r="F196" s="109"/>
      <c r="K196" s="125"/>
      <c r="P196" s="130"/>
      <c r="Q196" s="134"/>
    </row>
    <row r="197" spans="1:17" ht="14.4" x14ac:dyDescent="0.3">
      <c r="A197" s="127"/>
      <c r="F197" s="109"/>
      <c r="K197" s="125"/>
      <c r="P197" s="130"/>
      <c r="Q197" s="134"/>
    </row>
    <row r="198" spans="1:17" ht="14.4" x14ac:dyDescent="0.3">
      <c r="A198" s="127"/>
      <c r="F198" s="109"/>
      <c r="K198" s="125"/>
      <c r="P198" s="130"/>
      <c r="Q198" s="134"/>
    </row>
    <row r="199" spans="1:17" ht="14.4" x14ac:dyDescent="0.3">
      <c r="A199" s="127"/>
      <c r="F199" s="109"/>
      <c r="K199" s="125"/>
      <c r="P199" s="130"/>
      <c r="Q199" s="134"/>
    </row>
    <row r="200" spans="1:17" ht="14.4" x14ac:dyDescent="0.3">
      <c r="A200" s="127"/>
      <c r="F200" s="109"/>
      <c r="K200" s="125"/>
      <c r="P200" s="130"/>
      <c r="Q200" s="134"/>
    </row>
    <row r="201" spans="1:17" ht="14.4" x14ac:dyDescent="0.3">
      <c r="A201" s="127"/>
      <c r="K201" s="125"/>
      <c r="P201" s="130"/>
      <c r="Q201" s="134"/>
    </row>
    <row r="202" spans="1:17" ht="14.4" x14ac:dyDescent="0.3">
      <c r="A202" s="127"/>
      <c r="K202" s="125"/>
      <c r="P202" s="130"/>
      <c r="Q202" s="134"/>
    </row>
    <row r="203" spans="1:17" ht="14.4" x14ac:dyDescent="0.3">
      <c r="A203" s="127"/>
      <c r="K203" s="125"/>
      <c r="P203" s="130"/>
      <c r="Q203" s="134"/>
    </row>
    <row r="204" spans="1:17" ht="14.4" x14ac:dyDescent="0.3">
      <c r="A204" s="127"/>
      <c r="K204" s="125"/>
      <c r="P204" s="130"/>
      <c r="Q204" s="134"/>
    </row>
    <row r="205" spans="1:17" ht="14.4" x14ac:dyDescent="0.3">
      <c r="A205" s="127"/>
      <c r="K205" s="125"/>
      <c r="P205" s="130"/>
      <c r="Q205" s="134"/>
    </row>
    <row r="206" spans="1:17" ht="14.4" x14ac:dyDescent="0.3">
      <c r="A206" s="127"/>
      <c r="K206" s="125"/>
      <c r="P206" s="130"/>
      <c r="Q206" s="134"/>
    </row>
    <row r="207" spans="1:17" ht="14.4" x14ac:dyDescent="0.3">
      <c r="A207" s="127"/>
      <c r="K207" s="125"/>
      <c r="P207" s="130"/>
      <c r="Q207" s="134"/>
    </row>
    <row r="208" spans="1:17" ht="14.4" x14ac:dyDescent="0.3">
      <c r="A208" s="127"/>
      <c r="K208" s="125"/>
      <c r="P208" s="130"/>
      <c r="Q208" s="134"/>
    </row>
    <row r="209" spans="1:17" ht="14.4" x14ac:dyDescent="0.3">
      <c r="K209" s="125"/>
      <c r="P209" s="130"/>
      <c r="Q209" s="134"/>
    </row>
    <row r="210" spans="1:17" ht="14.4" x14ac:dyDescent="0.3">
      <c r="A210" s="128"/>
      <c r="K210" s="125"/>
      <c r="P210" s="130"/>
      <c r="Q210" s="134"/>
    </row>
    <row r="211" spans="1:17" ht="14.4" x14ac:dyDescent="0.3">
      <c r="A211" s="128"/>
      <c r="K211" s="125"/>
      <c r="P211" s="130"/>
      <c r="Q211" s="134"/>
    </row>
    <row r="212" spans="1:17" ht="14.4" x14ac:dyDescent="0.3">
      <c r="A212" s="128"/>
      <c r="K212" s="125"/>
      <c r="P212" s="130"/>
      <c r="Q212" s="134"/>
    </row>
    <row r="213" spans="1:17" ht="14.4" x14ac:dyDescent="0.3">
      <c r="A213" s="128"/>
      <c r="K213" s="125"/>
      <c r="P213" s="130"/>
      <c r="Q213" s="134"/>
    </row>
    <row r="214" spans="1:17" ht="14.4" x14ac:dyDescent="0.3">
      <c r="A214" s="128"/>
      <c r="K214" s="125"/>
      <c r="P214" s="130"/>
      <c r="Q214" s="134"/>
    </row>
    <row r="215" spans="1:17" ht="14.4" x14ac:dyDescent="0.3">
      <c r="A215" s="128"/>
      <c r="K215" s="125"/>
      <c r="P215" s="130"/>
      <c r="Q215" s="134"/>
    </row>
    <row r="216" spans="1:17" ht="14.4" x14ac:dyDescent="0.3">
      <c r="A216" s="128"/>
      <c r="K216" s="125"/>
      <c r="P216" s="130"/>
      <c r="Q216" s="134"/>
    </row>
    <row r="217" spans="1:17" ht="14.4" x14ac:dyDescent="0.3">
      <c r="A217" s="128"/>
      <c r="K217" s="125"/>
      <c r="P217" s="130"/>
      <c r="Q217" s="134"/>
    </row>
    <row r="218" spans="1:17" ht="14.4" x14ac:dyDescent="0.3">
      <c r="A218" s="128"/>
      <c r="K218" s="125"/>
      <c r="P218" s="130"/>
      <c r="Q218" s="134"/>
    </row>
    <row r="219" spans="1:17" ht="14.4" x14ac:dyDescent="0.3">
      <c r="A219" s="128"/>
      <c r="K219" s="125"/>
      <c r="P219" s="130"/>
      <c r="Q219" s="134"/>
    </row>
    <row r="220" spans="1:17" ht="14.4" x14ac:dyDescent="0.3">
      <c r="A220" s="128"/>
      <c r="K220" s="125"/>
      <c r="P220" s="130"/>
      <c r="Q220" s="134"/>
    </row>
    <row r="221" spans="1:17" ht="14.4" x14ac:dyDescent="0.3">
      <c r="A221" s="128"/>
      <c r="K221" s="125"/>
      <c r="P221" s="130"/>
      <c r="Q221" s="134"/>
    </row>
    <row r="222" spans="1:17" ht="14.4" x14ac:dyDescent="0.3">
      <c r="A222" s="128"/>
      <c r="K222" s="125"/>
      <c r="P222" s="130"/>
      <c r="Q222" s="134"/>
    </row>
    <row r="223" spans="1:17" ht="14.4" x14ac:dyDescent="0.3">
      <c r="A223" s="128"/>
      <c r="K223" s="125"/>
      <c r="P223" s="130"/>
      <c r="Q223" s="134"/>
    </row>
    <row r="224" spans="1:17" ht="14.4" x14ac:dyDescent="0.3">
      <c r="K224" s="125"/>
      <c r="P224" s="130"/>
      <c r="Q224" s="134"/>
    </row>
    <row r="225" spans="1:17" ht="14.4" x14ac:dyDescent="0.3">
      <c r="K225" s="125"/>
      <c r="P225" s="130"/>
      <c r="Q225" s="134"/>
    </row>
    <row r="226" spans="1:17" ht="14.4" x14ac:dyDescent="0.3">
      <c r="A226" s="128"/>
      <c r="K226" s="125"/>
      <c r="P226" s="130"/>
      <c r="Q226" s="134"/>
    </row>
    <row r="227" spans="1:17" ht="14.4" x14ac:dyDescent="0.3">
      <c r="A227" s="128"/>
      <c r="K227" s="125"/>
      <c r="P227" s="130"/>
      <c r="Q227" s="134"/>
    </row>
    <row r="228" spans="1:17" ht="14.4" x14ac:dyDescent="0.3">
      <c r="A228" s="128"/>
      <c r="K228" s="125"/>
      <c r="P228" s="130"/>
      <c r="Q228" s="134"/>
    </row>
    <row r="229" spans="1:17" ht="14.4" x14ac:dyDescent="0.3">
      <c r="A229" s="128"/>
      <c r="P229" s="130"/>
      <c r="Q229" s="134"/>
    </row>
    <row r="230" spans="1:17" ht="14.4" x14ac:dyDescent="0.3">
      <c r="A230" s="128"/>
      <c r="P230" s="130"/>
      <c r="Q230" s="134"/>
    </row>
    <row r="231" spans="1:17" ht="14.4" x14ac:dyDescent="0.3">
      <c r="A231" s="128"/>
      <c r="P231" s="130"/>
      <c r="Q231" s="134"/>
    </row>
    <row r="232" spans="1:17" ht="14.4" x14ac:dyDescent="0.3">
      <c r="A232" s="128"/>
      <c r="P232" s="130"/>
      <c r="Q232" s="134"/>
    </row>
    <row r="233" spans="1:17" ht="14.4" x14ac:dyDescent="0.3">
      <c r="A233" s="128"/>
      <c r="P233" s="130"/>
      <c r="Q233" s="134"/>
    </row>
    <row r="234" spans="1:17" ht="14.4" x14ac:dyDescent="0.3">
      <c r="A234" s="128"/>
      <c r="P234" s="132"/>
      <c r="Q234" s="135"/>
    </row>
    <row r="235" spans="1:17" ht="14.4" x14ac:dyDescent="0.3">
      <c r="A235" s="128"/>
      <c r="P235" s="132"/>
      <c r="Q235" s="135"/>
    </row>
    <row r="236" spans="1:17" ht="14.4" x14ac:dyDescent="0.3">
      <c r="A236" s="128"/>
      <c r="P236" s="130"/>
      <c r="Q236" s="134"/>
    </row>
    <row r="237" spans="1:17" ht="14.4" x14ac:dyDescent="0.3">
      <c r="A237" s="128"/>
      <c r="P237" s="130"/>
      <c r="Q237" s="134"/>
    </row>
    <row r="238" spans="1:17" ht="14.4" x14ac:dyDescent="0.3">
      <c r="A238" s="128"/>
      <c r="P238" s="130"/>
      <c r="Q238" s="134"/>
    </row>
    <row r="239" spans="1:17" ht="14.4" x14ac:dyDescent="0.3">
      <c r="A239" s="128"/>
      <c r="P239" s="130"/>
      <c r="Q239" s="134"/>
    </row>
    <row r="240" spans="1:17" ht="14.4" x14ac:dyDescent="0.3">
      <c r="A240" s="128"/>
      <c r="P240" s="130"/>
      <c r="Q240" s="134"/>
    </row>
    <row r="241" spans="11:17" x14ac:dyDescent="0.25">
      <c r="P241" s="130"/>
      <c r="Q241" s="134"/>
    </row>
    <row r="242" spans="11:17" x14ac:dyDescent="0.25">
      <c r="P242" s="130"/>
      <c r="Q242" s="134"/>
    </row>
    <row r="243" spans="11:17" x14ac:dyDescent="0.25">
      <c r="P243" s="130"/>
      <c r="Q243" s="134"/>
    </row>
    <row r="244" spans="11:17" x14ac:dyDescent="0.25">
      <c r="P244" s="130"/>
      <c r="Q244" s="134"/>
    </row>
    <row r="245" spans="11:17" x14ac:dyDescent="0.25">
      <c r="P245" s="130"/>
      <c r="Q245" s="134"/>
    </row>
    <row r="246" spans="11:17" x14ac:dyDescent="0.25">
      <c r="P246" s="130"/>
      <c r="Q246" s="134"/>
    </row>
    <row r="247" spans="11:17" x14ac:dyDescent="0.25">
      <c r="P247" s="130"/>
      <c r="Q247" s="134"/>
    </row>
    <row r="248" spans="11:17" x14ac:dyDescent="0.25">
      <c r="P248" s="130"/>
      <c r="Q248" s="134"/>
    </row>
    <row r="249" spans="11:17" x14ac:dyDescent="0.25">
      <c r="P249" s="130"/>
      <c r="Q249" s="134"/>
    </row>
    <row r="250" spans="11:17" x14ac:dyDescent="0.25">
      <c r="P250" s="130"/>
      <c r="Q250" s="134"/>
    </row>
    <row r="251" spans="11:17" x14ac:dyDescent="0.25">
      <c r="P251" s="130"/>
      <c r="Q251" s="134"/>
    </row>
    <row r="252" spans="11:17" x14ac:dyDescent="0.25">
      <c r="K252" s="39"/>
      <c r="P252" s="130"/>
      <c r="Q252" s="134"/>
    </row>
    <row r="253" spans="11:17" x14ac:dyDescent="0.25">
      <c r="K253" s="39"/>
      <c r="P253" s="130"/>
      <c r="Q253" s="134"/>
    </row>
    <row r="254" spans="11:17" x14ac:dyDescent="0.25">
      <c r="K254" s="39"/>
      <c r="P254" s="130"/>
      <c r="Q254" s="134"/>
    </row>
    <row r="255" spans="11:17" x14ac:dyDescent="0.25">
      <c r="P255" s="130"/>
      <c r="Q255" s="134"/>
    </row>
    <row r="256" spans="11:17" x14ac:dyDescent="0.25">
      <c r="P256" s="130"/>
      <c r="Q256" s="134"/>
    </row>
    <row r="257" spans="16:17" x14ac:dyDescent="0.25">
      <c r="P257" s="130"/>
      <c r="Q257" s="134"/>
    </row>
    <row r="258" spans="16:17" x14ac:dyDescent="0.25">
      <c r="P258" s="130"/>
      <c r="Q258" s="134"/>
    </row>
    <row r="259" spans="16:17" x14ac:dyDescent="0.25">
      <c r="P259" s="130"/>
      <c r="Q259" s="134"/>
    </row>
    <row r="260" spans="16:17" x14ac:dyDescent="0.25">
      <c r="P260" s="130"/>
      <c r="Q260" s="134"/>
    </row>
    <row r="261" spans="16:17" x14ac:dyDescent="0.25">
      <c r="P261" s="130"/>
      <c r="Q261" s="134"/>
    </row>
    <row r="262" spans="16:17" x14ac:dyDescent="0.25">
      <c r="P262" s="130"/>
      <c r="Q262" s="134"/>
    </row>
    <row r="263" spans="16:17" x14ac:dyDescent="0.25">
      <c r="P263" s="130"/>
      <c r="Q263" s="134"/>
    </row>
    <row r="264" spans="16:17" x14ac:dyDescent="0.25">
      <c r="P264" s="130"/>
      <c r="Q264" s="134"/>
    </row>
    <row r="265" spans="16:17" x14ac:dyDescent="0.25">
      <c r="P265" s="130"/>
      <c r="Q265" s="134"/>
    </row>
    <row r="266" spans="16:17" x14ac:dyDescent="0.25">
      <c r="P266" s="130"/>
      <c r="Q266" s="134"/>
    </row>
    <row r="267" spans="16:17" x14ac:dyDescent="0.25">
      <c r="P267" s="130"/>
      <c r="Q267" s="134"/>
    </row>
    <row r="268" spans="16:17" x14ac:dyDescent="0.25">
      <c r="P268" s="130"/>
      <c r="Q268" s="134"/>
    </row>
    <row r="269" spans="16:17" x14ac:dyDescent="0.25">
      <c r="P269" s="130"/>
      <c r="Q269" s="134"/>
    </row>
    <row r="270" spans="16:17" x14ac:dyDescent="0.25">
      <c r="P270" s="130"/>
      <c r="Q270" s="134"/>
    </row>
    <row r="271" spans="16:17" x14ac:dyDescent="0.25">
      <c r="P271" s="130"/>
      <c r="Q271" s="134"/>
    </row>
    <row r="272" spans="16:17" x14ac:dyDescent="0.25">
      <c r="P272" s="130"/>
      <c r="Q272" s="134"/>
    </row>
    <row r="273" spans="16:17" x14ac:dyDescent="0.25">
      <c r="P273" s="130"/>
      <c r="Q273" s="134"/>
    </row>
    <row r="274" spans="16:17" x14ac:dyDescent="0.25">
      <c r="P274" s="130"/>
      <c r="Q274" s="134"/>
    </row>
    <row r="275" spans="16:17" x14ac:dyDescent="0.25">
      <c r="P275" s="130"/>
      <c r="Q275" s="134"/>
    </row>
    <row r="276" spans="16:17" x14ac:dyDescent="0.25">
      <c r="P276" s="130"/>
      <c r="Q276" s="134"/>
    </row>
    <row r="277" spans="16:17" x14ac:dyDescent="0.25">
      <c r="P277" s="130"/>
      <c r="Q277" s="134"/>
    </row>
    <row r="278" spans="16:17" x14ac:dyDescent="0.25">
      <c r="P278" s="130"/>
      <c r="Q278" s="134"/>
    </row>
    <row r="279" spans="16:17" x14ac:dyDescent="0.25">
      <c r="P279" s="130"/>
      <c r="Q279" s="134"/>
    </row>
    <row r="280" spans="16:17" x14ac:dyDescent="0.25">
      <c r="P280" s="130"/>
      <c r="Q280" s="134"/>
    </row>
    <row r="281" spans="16:17" x14ac:dyDescent="0.25">
      <c r="P281" s="130"/>
      <c r="Q281" s="134"/>
    </row>
    <row r="282" spans="16:17" x14ac:dyDescent="0.25">
      <c r="P282" s="130"/>
      <c r="Q282" s="134"/>
    </row>
    <row r="283" spans="16:17" x14ac:dyDescent="0.25">
      <c r="P283" s="130"/>
      <c r="Q283" s="134"/>
    </row>
    <row r="284" spans="16:17" x14ac:dyDescent="0.25">
      <c r="P284" s="130"/>
      <c r="Q284" s="134"/>
    </row>
    <row r="285" spans="16:17" x14ac:dyDescent="0.25">
      <c r="P285" s="130"/>
      <c r="Q285" s="134"/>
    </row>
    <row r="286" spans="16:17" x14ac:dyDescent="0.25">
      <c r="P286" s="130"/>
      <c r="Q286" s="134"/>
    </row>
    <row r="287" spans="16:17" x14ac:dyDescent="0.25">
      <c r="P287" s="130"/>
      <c r="Q287" s="134"/>
    </row>
    <row r="288" spans="16:17" x14ac:dyDescent="0.25">
      <c r="P288" s="130"/>
      <c r="Q288" s="134"/>
    </row>
    <row r="289" spans="16:17" x14ac:dyDescent="0.25">
      <c r="P289" s="130"/>
      <c r="Q289" s="134"/>
    </row>
    <row r="290" spans="16:17" x14ac:dyDescent="0.25">
      <c r="P290" s="130"/>
      <c r="Q290" s="134"/>
    </row>
    <row r="291" spans="16:17" x14ac:dyDescent="0.25">
      <c r="P291" s="130"/>
      <c r="Q291" s="134"/>
    </row>
    <row r="292" spans="16:17" x14ac:dyDescent="0.25">
      <c r="P292" s="130"/>
      <c r="Q292" s="134"/>
    </row>
    <row r="293" spans="16:17" x14ac:dyDescent="0.25">
      <c r="P293" s="130"/>
      <c r="Q293" s="134"/>
    </row>
    <row r="294" spans="16:17" x14ac:dyDescent="0.25">
      <c r="P294" s="130"/>
      <c r="Q294" s="134"/>
    </row>
    <row r="295" spans="16:17" x14ac:dyDescent="0.25">
      <c r="P295" s="130"/>
      <c r="Q295" s="134"/>
    </row>
    <row r="296" spans="16:17" x14ac:dyDescent="0.25">
      <c r="P296" s="133"/>
      <c r="Q296" s="136"/>
    </row>
    <row r="297" spans="16:17" x14ac:dyDescent="0.25">
      <c r="P297" s="133"/>
      <c r="Q297" s="136"/>
    </row>
    <row r="298" spans="16:17" x14ac:dyDescent="0.25">
      <c r="P298" s="133"/>
      <c r="Q298" s="136"/>
    </row>
    <row r="299" spans="16:17" x14ac:dyDescent="0.25">
      <c r="P299" s="133"/>
      <c r="Q299" s="136"/>
    </row>
    <row r="300" spans="16:17" x14ac:dyDescent="0.25">
      <c r="P300" s="133"/>
      <c r="Q300" s="136"/>
    </row>
    <row r="301" spans="16:17" x14ac:dyDescent="0.25">
      <c r="P301" s="133"/>
      <c r="Q301" s="136"/>
    </row>
    <row r="302" spans="16:17" x14ac:dyDescent="0.25">
      <c r="P302" s="133"/>
      <c r="Q302" s="136"/>
    </row>
    <row r="303" spans="16:17" x14ac:dyDescent="0.25">
      <c r="P303" s="133"/>
      <c r="Q303" s="136"/>
    </row>
    <row r="304" spans="16:17" x14ac:dyDescent="0.25">
      <c r="P304" s="130"/>
      <c r="Q304" s="134"/>
    </row>
    <row r="305" spans="16:17" x14ac:dyDescent="0.25">
      <c r="P305" s="130"/>
      <c r="Q305" s="134"/>
    </row>
    <row r="306" spans="16:17" x14ac:dyDescent="0.25">
      <c r="P306" s="130"/>
      <c r="Q306" s="134"/>
    </row>
    <row r="307" spans="16:17" x14ac:dyDescent="0.25">
      <c r="P307" s="130"/>
      <c r="Q307" s="134"/>
    </row>
    <row r="308" spans="16:17" x14ac:dyDescent="0.25">
      <c r="P308" s="130"/>
      <c r="Q308" s="134"/>
    </row>
    <row r="309" spans="16:17" x14ac:dyDescent="0.25">
      <c r="P309" s="130"/>
      <c r="Q309" s="134"/>
    </row>
    <row r="310" spans="16:17" x14ac:dyDescent="0.25">
      <c r="P310" s="130"/>
      <c r="Q310" s="134"/>
    </row>
    <row r="311" spans="16:17" x14ac:dyDescent="0.25">
      <c r="P311" s="130"/>
      <c r="Q311" s="134"/>
    </row>
    <row r="312" spans="16:17" x14ac:dyDescent="0.25">
      <c r="P312" s="130"/>
      <c r="Q312" s="134"/>
    </row>
    <row r="313" spans="16:17" x14ac:dyDescent="0.25">
      <c r="P313" s="130"/>
      <c r="Q313" s="134"/>
    </row>
    <row r="314" spans="16:17" x14ac:dyDescent="0.25">
      <c r="P314" s="130"/>
      <c r="Q314" s="134"/>
    </row>
    <row r="315" spans="16:17" x14ac:dyDescent="0.25">
      <c r="P315" s="130"/>
      <c r="Q315" s="134"/>
    </row>
    <row r="316" spans="16:17" x14ac:dyDescent="0.25">
      <c r="P316" s="130"/>
      <c r="Q316" s="134"/>
    </row>
    <row r="317" spans="16:17" x14ac:dyDescent="0.25">
      <c r="P317" s="130"/>
      <c r="Q317" s="134"/>
    </row>
    <row r="318" spans="16:17" x14ac:dyDescent="0.25">
      <c r="P318" s="130"/>
      <c r="Q318" s="134"/>
    </row>
    <row r="319" spans="16:17" x14ac:dyDescent="0.25">
      <c r="P319" s="130"/>
      <c r="Q319" s="134"/>
    </row>
    <row r="320" spans="16:17" x14ac:dyDescent="0.25">
      <c r="P320" s="130"/>
      <c r="Q320" s="134"/>
    </row>
    <row r="321" spans="16:17" x14ac:dyDescent="0.25">
      <c r="P321" s="130"/>
      <c r="Q321" s="134"/>
    </row>
    <row r="322" spans="16:17" x14ac:dyDescent="0.25">
      <c r="P322" s="130"/>
      <c r="Q322" s="134"/>
    </row>
    <row r="323" spans="16:17" x14ac:dyDescent="0.25">
      <c r="P323" s="130"/>
      <c r="Q323" s="134"/>
    </row>
    <row r="324" spans="16:17" x14ac:dyDescent="0.25">
      <c r="P324" s="130"/>
      <c r="Q324" s="134"/>
    </row>
    <row r="325" spans="16:17" x14ac:dyDescent="0.25">
      <c r="P325" s="130"/>
      <c r="Q325" s="134"/>
    </row>
    <row r="326" spans="16:17" x14ac:dyDescent="0.25">
      <c r="P326" s="130"/>
      <c r="Q326" s="134"/>
    </row>
    <row r="327" spans="16:17" x14ac:dyDescent="0.25">
      <c r="P327" s="130"/>
      <c r="Q327" s="134"/>
    </row>
    <row r="328" spans="16:17" x14ac:dyDescent="0.25">
      <c r="P328" s="130"/>
      <c r="Q328" s="134"/>
    </row>
    <row r="329" spans="16:17" x14ac:dyDescent="0.25">
      <c r="P329" s="130"/>
      <c r="Q329" s="134"/>
    </row>
    <row r="330" spans="16:17" x14ac:dyDescent="0.25">
      <c r="P330" s="130"/>
      <c r="Q330" s="134"/>
    </row>
    <row r="331" spans="16:17" x14ac:dyDescent="0.25">
      <c r="P331" s="130"/>
      <c r="Q331" s="134"/>
    </row>
    <row r="332" spans="16:17" x14ac:dyDescent="0.25">
      <c r="P332" s="130"/>
      <c r="Q332" s="134"/>
    </row>
    <row r="333" spans="16:17" x14ac:dyDescent="0.25">
      <c r="P333" s="130"/>
      <c r="Q333" s="134"/>
    </row>
    <row r="334" spans="16:17" x14ac:dyDescent="0.25">
      <c r="P334" s="130"/>
      <c r="Q334" s="134"/>
    </row>
    <row r="335" spans="16:17" x14ac:dyDescent="0.25">
      <c r="P335" s="130"/>
      <c r="Q335" s="134"/>
    </row>
  </sheetData>
  <mergeCells count="24">
    <mergeCell ref="E33:F33"/>
    <mergeCell ref="G33:L33"/>
    <mergeCell ref="G28:L28"/>
    <mergeCell ref="G29:L29"/>
    <mergeCell ref="G30:L30"/>
    <mergeCell ref="G31:L31"/>
    <mergeCell ref="J1:L1"/>
    <mergeCell ref="J2:L2"/>
    <mergeCell ref="E27:F27"/>
    <mergeCell ref="D26:F26"/>
    <mergeCell ref="G24:L24"/>
    <mergeCell ref="E24:F24"/>
    <mergeCell ref="J22:L22"/>
    <mergeCell ref="G27:L27"/>
    <mergeCell ref="A45:B45"/>
    <mergeCell ref="J3:L3"/>
    <mergeCell ref="E28:F28"/>
    <mergeCell ref="E32:F32"/>
    <mergeCell ref="G26:L26"/>
    <mergeCell ref="D30:F30"/>
    <mergeCell ref="E29:F29"/>
    <mergeCell ref="K36:L36"/>
    <mergeCell ref="K37:L37"/>
    <mergeCell ref="G32:L32"/>
  </mergeCells>
  <phoneticPr fontId="0" type="noConversion"/>
  <pageMargins left="0.25" right="0.25" top="0.25" bottom="0.25" header="0.5" footer="0.5"/>
  <pageSetup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6" r:id="rId4" name="Check Box 32">
              <controlPr defaultSize="0" autoFill="0" autoLine="0" autoPict="0">
                <anchor moveWithCells="1">
                  <from>
                    <xdr:col>2</xdr:col>
                    <xdr:colOff>0</xdr:colOff>
                    <xdr:row>21</xdr:row>
                    <xdr:rowOff>60960</xdr:rowOff>
                  </from>
                  <to>
                    <xdr:col>3</xdr:col>
                    <xdr:colOff>198120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" name="Check Box 33">
              <controlPr defaultSize="0" autoFill="0" autoLine="0" autoPict="0">
                <anchor moveWithCells="1">
                  <from>
                    <xdr:col>4</xdr:col>
                    <xdr:colOff>0</xdr:colOff>
                    <xdr:row>21</xdr:row>
                    <xdr:rowOff>60960</xdr:rowOff>
                  </from>
                  <to>
                    <xdr:col>5</xdr:col>
                    <xdr:colOff>198120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6" name="Check Box 34">
              <controlPr defaultSize="0" autoFill="0" autoLine="0" autoPict="0">
                <anchor moveWithCells="1">
                  <from>
                    <xdr:col>6</xdr:col>
                    <xdr:colOff>0</xdr:colOff>
                    <xdr:row>21</xdr:row>
                    <xdr:rowOff>60960</xdr:rowOff>
                  </from>
                  <to>
                    <xdr:col>7</xdr:col>
                    <xdr:colOff>198120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7" name="Button 36">
              <controlPr defaultSize="0" print="0" autoFill="0" autoPict="0" macro="[0]!Module11.PrintOption">
                <anchor moveWithCells="1">
                  <from>
                    <xdr:col>1</xdr:col>
                    <xdr:colOff>0</xdr:colOff>
                    <xdr:row>23</xdr:row>
                    <xdr:rowOff>7620</xdr:rowOff>
                  </from>
                  <to>
                    <xdr:col>2</xdr:col>
                    <xdr:colOff>464820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8" name="Button 37">
              <controlPr defaultSize="0" print="0" autoFill="0" autoPict="0" macro="[0]!Module1.ExportToAdj">
                <anchor moveWithCells="1">
                  <from>
                    <xdr:col>1</xdr:col>
                    <xdr:colOff>0</xdr:colOff>
                    <xdr:row>31</xdr:row>
                    <xdr:rowOff>0</xdr:rowOff>
                  </from>
                  <to>
                    <xdr:col>2</xdr:col>
                    <xdr:colOff>464820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9" name="Button 38">
              <controlPr defaultSize="0" print="0" autoFill="0" autoPict="0" macro="[0]!Module11.RemoveScript">
                <anchor moveWithCells="1">
                  <from>
                    <xdr:col>1</xdr:col>
                    <xdr:colOff>0</xdr:colOff>
                    <xdr:row>25</xdr:row>
                    <xdr:rowOff>0</xdr:rowOff>
                  </from>
                  <to>
                    <xdr:col>3</xdr:col>
                    <xdr:colOff>190500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0" name="Button 39">
              <controlPr defaultSize="0" print="0" autoFill="0" autoPict="0" macro="[0]!Module11.AddPages">
                <anchor moveWithCells="1">
                  <from>
                    <xdr:col>1</xdr:col>
                    <xdr:colOff>15240</xdr:colOff>
                    <xdr:row>27</xdr:row>
                    <xdr:rowOff>0</xdr:rowOff>
                  </from>
                  <to>
                    <xdr:col>2</xdr:col>
                    <xdr:colOff>396240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1" name="Button 40">
              <controlPr defaultSize="0" print="0" autoFill="0" autoPict="0" macro="[0]!Module11.MovePage">
                <anchor moveWithCells="1">
                  <from>
                    <xdr:col>1</xdr:col>
                    <xdr:colOff>15240</xdr:colOff>
                    <xdr:row>29</xdr:row>
                    <xdr:rowOff>0</xdr:rowOff>
                  </from>
                  <to>
                    <xdr:col>2</xdr:col>
                    <xdr:colOff>396240</xdr:colOff>
                    <xdr:row>30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E280-7020-480E-96D7-13FA801A1EB2}">
  <sheetPr codeName="Sheet38"/>
  <dimension ref="A1:P20"/>
  <sheetViews>
    <sheetView topLeftCell="A5" workbookViewId="0">
      <selection activeCell="K1" sqref="K1:L1"/>
    </sheetView>
  </sheetViews>
  <sheetFormatPr defaultColWidth="9.21875" defaultRowHeight="13.2" x14ac:dyDescent="0.25"/>
  <cols>
    <col min="1" max="4" width="9.77734375" style="244" customWidth="1"/>
    <col min="5" max="5" width="9.77734375" style="276" customWidth="1"/>
    <col min="6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70"/>
      <c r="F1" s="247"/>
      <c r="G1" s="352"/>
      <c r="H1" s="353"/>
      <c r="I1" s="353" t="s">
        <v>1351</v>
      </c>
      <c r="J1" s="353"/>
      <c r="K1" s="354">
        <v>1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71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71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71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71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72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42" t="s">
        <v>345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43"/>
      <c r="O8" s="236"/>
      <c r="P8" s="236"/>
    </row>
    <row r="9" spans="1:16" ht="22.5" customHeight="1" thickBot="1" x14ac:dyDescent="0.3">
      <c r="A9" s="235" t="s">
        <v>238</v>
      </c>
      <c r="B9" s="252" t="s">
        <v>239</v>
      </c>
      <c r="C9" s="351" t="s">
        <v>240</v>
      </c>
      <c r="D9" s="340"/>
      <c r="E9" s="273" t="s">
        <v>273</v>
      </c>
      <c r="F9" s="235" t="s">
        <v>272</v>
      </c>
      <c r="G9" s="235" t="s">
        <v>264</v>
      </c>
      <c r="H9" s="351" t="s">
        <v>242</v>
      </c>
      <c r="I9" s="341"/>
      <c r="J9" s="274" t="s">
        <v>271</v>
      </c>
      <c r="K9" s="350" t="s">
        <v>241</v>
      </c>
      <c r="L9" s="343"/>
      <c r="M9" s="340" t="s">
        <v>327</v>
      </c>
      <c r="N9" s="341"/>
    </row>
    <row r="10" spans="1:16" ht="13.5" customHeight="1" x14ac:dyDescent="0.25">
      <c r="A10" s="263"/>
      <c r="B10" s="275"/>
      <c r="C10" s="335"/>
      <c r="D10" s="335"/>
      <c r="E10" s="275"/>
      <c r="F10" s="275"/>
      <c r="G10" s="275"/>
      <c r="H10" s="335"/>
      <c r="I10" s="335"/>
      <c r="J10" s="275"/>
      <c r="K10" s="335"/>
      <c r="L10" s="335"/>
      <c r="M10" s="357"/>
      <c r="N10" s="358"/>
    </row>
    <row r="11" spans="1:16" customFormat="1" ht="13.8" x14ac:dyDescent="0.25">
      <c r="A11" s="278">
        <v>1</v>
      </c>
      <c r="B11" s="278" t="s">
        <v>1805</v>
      </c>
      <c r="C11" s="348" t="s">
        <v>1818</v>
      </c>
      <c r="D11" s="336"/>
      <c r="E11" s="278" t="s">
        <v>1806</v>
      </c>
      <c r="F11" s="280" t="s">
        <v>412</v>
      </c>
      <c r="G11" s="278" t="s">
        <v>1807</v>
      </c>
      <c r="H11" s="336" t="s">
        <v>390</v>
      </c>
      <c r="I11" s="336"/>
      <c r="J11" s="278"/>
      <c r="K11" s="336" t="s">
        <v>1808</v>
      </c>
      <c r="L11" s="336"/>
      <c r="M11" s="336">
        <v>157.75</v>
      </c>
      <c r="N11" s="336"/>
    </row>
    <row r="12" spans="1:16" customFormat="1" ht="13.8" x14ac:dyDescent="0.25">
      <c r="A12" s="336" t="s">
        <v>1809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</row>
    <row r="13" spans="1:16" customFormat="1" ht="14.55" customHeight="1" x14ac:dyDescent="0.25">
      <c r="A13" s="278">
        <v>1</v>
      </c>
      <c r="B13" s="278" t="s">
        <v>1810</v>
      </c>
      <c r="C13" s="348" t="s">
        <v>1818</v>
      </c>
      <c r="D13" s="336"/>
      <c r="E13" s="278" t="s">
        <v>1806</v>
      </c>
      <c r="F13" s="280" t="s">
        <v>412</v>
      </c>
      <c r="G13" s="278" t="s">
        <v>1811</v>
      </c>
      <c r="H13" s="336" t="s">
        <v>390</v>
      </c>
      <c r="I13" s="336"/>
      <c r="J13" s="278"/>
      <c r="K13" s="336" t="s">
        <v>1808</v>
      </c>
      <c r="L13" s="336"/>
      <c r="M13" s="336">
        <v>157.75</v>
      </c>
      <c r="N13" s="336"/>
    </row>
    <row r="14" spans="1:16" customFormat="1" ht="13.8" x14ac:dyDescent="0.25">
      <c r="A14" s="336" t="s">
        <v>1809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336"/>
    </row>
    <row r="15" spans="1:16" customFormat="1" ht="14.55" customHeight="1" x14ac:dyDescent="0.25">
      <c r="A15" s="278">
        <v>1</v>
      </c>
      <c r="B15" s="278" t="s">
        <v>1812</v>
      </c>
      <c r="C15" s="348" t="s">
        <v>1818</v>
      </c>
      <c r="D15" s="336"/>
      <c r="E15" s="278" t="s">
        <v>1806</v>
      </c>
      <c r="F15" s="280" t="s">
        <v>412</v>
      </c>
      <c r="G15" s="278" t="s">
        <v>1813</v>
      </c>
      <c r="H15" s="336" t="s">
        <v>390</v>
      </c>
      <c r="I15" s="336"/>
      <c r="J15" s="278"/>
      <c r="K15" s="336" t="s">
        <v>1808</v>
      </c>
      <c r="L15" s="336"/>
      <c r="M15" s="336">
        <v>157.75</v>
      </c>
      <c r="N15" s="336"/>
    </row>
    <row r="16" spans="1:16" customFormat="1" ht="13.8" x14ac:dyDescent="0.25">
      <c r="A16" s="336" t="s">
        <v>1814</v>
      </c>
      <c r="B16" s="336"/>
      <c r="C16" s="336"/>
      <c r="D16" s="336"/>
      <c r="E16" s="336"/>
      <c r="F16" s="336"/>
      <c r="G16" s="336"/>
      <c r="H16" s="336"/>
      <c r="I16" s="336"/>
      <c r="J16" s="336"/>
      <c r="K16" s="336"/>
      <c r="L16" s="336"/>
      <c r="M16" s="336"/>
      <c r="N16" s="336"/>
    </row>
    <row r="17" spans="1:14" customFormat="1" ht="14.55" customHeight="1" x14ac:dyDescent="0.25">
      <c r="A17" s="278">
        <v>1</v>
      </c>
      <c r="B17" s="280" t="s">
        <v>1815</v>
      </c>
      <c r="C17" s="348" t="s">
        <v>1818</v>
      </c>
      <c r="D17" s="336"/>
      <c r="E17" s="278" t="s">
        <v>1806</v>
      </c>
      <c r="F17" s="280" t="s">
        <v>412</v>
      </c>
      <c r="G17" s="278" t="s">
        <v>1816</v>
      </c>
      <c r="H17" s="336" t="s">
        <v>390</v>
      </c>
      <c r="I17" s="336"/>
      <c r="J17" s="278"/>
      <c r="K17" s="336" t="s">
        <v>1808</v>
      </c>
      <c r="L17" s="336"/>
      <c r="M17" s="336">
        <v>157.75</v>
      </c>
      <c r="N17" s="336"/>
    </row>
    <row r="18" spans="1:14" customFormat="1" ht="13.8" x14ac:dyDescent="0.25">
      <c r="A18" s="336" t="s">
        <v>1817</v>
      </c>
      <c r="B18" s="336"/>
      <c r="C18" s="336"/>
      <c r="D18" s="336"/>
      <c r="E18" s="336"/>
      <c r="F18" s="336"/>
      <c r="G18" s="336"/>
      <c r="H18" s="336"/>
      <c r="I18" s="336"/>
      <c r="J18" s="336"/>
      <c r="K18" s="336"/>
      <c r="L18" s="336"/>
      <c r="M18" s="336"/>
      <c r="N18" s="336"/>
    </row>
    <row r="20" spans="1:14" x14ac:dyDescent="0.25">
      <c r="I20" s="260"/>
      <c r="J20" s="260"/>
      <c r="K20" s="356" t="s">
        <v>263</v>
      </c>
      <c r="L20" s="356"/>
      <c r="M20" s="355">
        <f>SUM(M11:M18)</f>
        <v>631</v>
      </c>
      <c r="N20" s="355"/>
    </row>
  </sheetData>
  <sheetProtection formatCells="0" formatRows="0"/>
  <mergeCells count="54">
    <mergeCell ref="C13:D13"/>
    <mergeCell ref="A16:N16"/>
    <mergeCell ref="C17:D17"/>
    <mergeCell ref="H17:I17"/>
    <mergeCell ref="K17:L17"/>
    <mergeCell ref="M17:N17"/>
    <mergeCell ref="M5:N5"/>
    <mergeCell ref="A12:N12"/>
    <mergeCell ref="G5:H5"/>
    <mergeCell ref="H13:I13"/>
    <mergeCell ref="K13:L13"/>
    <mergeCell ref="M13:N13"/>
    <mergeCell ref="G6:H6"/>
    <mergeCell ref="K9:L9"/>
    <mergeCell ref="H10:I10"/>
    <mergeCell ref="H9:I9"/>
    <mergeCell ref="M20:N20"/>
    <mergeCell ref="K20:L20"/>
    <mergeCell ref="M10:N10"/>
    <mergeCell ref="A14:N14"/>
    <mergeCell ref="C15:D15"/>
    <mergeCell ref="H15:I15"/>
    <mergeCell ref="K15:L15"/>
    <mergeCell ref="C10:D10"/>
    <mergeCell ref="A18:N18"/>
    <mergeCell ref="M15:N15"/>
    <mergeCell ref="C9:D9"/>
    <mergeCell ref="G1:H1"/>
    <mergeCell ref="I1:J1"/>
    <mergeCell ref="K1:L1"/>
    <mergeCell ref="I2:J2"/>
    <mergeCell ref="K2:L2"/>
    <mergeCell ref="G2:H2"/>
    <mergeCell ref="I5:J5"/>
    <mergeCell ref="A7:B7"/>
    <mergeCell ref="G3:H3"/>
    <mergeCell ref="M2:N2"/>
    <mergeCell ref="C11:D11"/>
    <mergeCell ref="G4:H4"/>
    <mergeCell ref="I3:J3"/>
    <mergeCell ref="K3:L3"/>
    <mergeCell ref="K4:L4"/>
    <mergeCell ref="I4:J4"/>
    <mergeCell ref="A8:N8"/>
    <mergeCell ref="M3:N3"/>
    <mergeCell ref="M4:N4"/>
    <mergeCell ref="I6:N6"/>
    <mergeCell ref="K5:L5"/>
    <mergeCell ref="K10:L10"/>
    <mergeCell ref="K11:L11"/>
    <mergeCell ref="H11:I11"/>
    <mergeCell ref="C7:N7"/>
    <mergeCell ref="M9:N9"/>
    <mergeCell ref="M11:N11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F11 F13:F18" xr:uid="{FA5E7F83-C6EA-4CBB-A6B9-DD4258ABB9C6}">
      <formula1>EaveStruts</formula1>
    </dataValidation>
    <dataValidation type="list" errorStyle="warning" allowBlank="1" showInputMessage="1" showErrorMessage="1" errorTitle="Unlisted" error="You have entered an unlisted item.  Please make sure the item entered is correct." sqref="H11:I11 H16:I16 H18:I18 H14:I14" xr:uid="{F360C55C-607E-4F02-8044-154D02FF3670}">
      <formula1>Coatings</formula1>
    </dataValidation>
  </dataValidations>
  <pageMargins left="0.25" right="0.25" top="0.25" bottom="0.25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814E-C6D9-4E9B-8BB5-5818439BE3D0}">
  <sheetPr codeName="Sheet39"/>
  <dimension ref="A1:P21"/>
  <sheetViews>
    <sheetView topLeftCell="A6" workbookViewId="0">
      <selection activeCell="Q25" sqref="Q25"/>
    </sheetView>
  </sheetViews>
  <sheetFormatPr defaultColWidth="9.21875" defaultRowHeight="13.2" x14ac:dyDescent="0.25"/>
  <cols>
    <col min="1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48"/>
      <c r="F1" s="247"/>
      <c r="G1" s="352"/>
      <c r="H1" s="353"/>
      <c r="I1" s="353" t="s">
        <v>1351</v>
      </c>
      <c r="J1" s="353"/>
      <c r="K1" s="354">
        <v>2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42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42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42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42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38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42" t="s">
        <v>344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43"/>
      <c r="O8" s="236"/>
      <c r="P8" s="236"/>
    </row>
    <row r="9" spans="1:16" ht="22.5" customHeight="1" thickBot="1" x14ac:dyDescent="0.3">
      <c r="A9" s="264" t="s">
        <v>238</v>
      </c>
      <c r="B9" s="264" t="s">
        <v>239</v>
      </c>
      <c r="C9" s="361" t="s">
        <v>240</v>
      </c>
      <c r="D9" s="362"/>
      <c r="E9" s="363"/>
      <c r="F9" s="266" t="s">
        <v>272</v>
      </c>
      <c r="G9" s="265" t="s">
        <v>264</v>
      </c>
      <c r="H9" s="193" t="s">
        <v>271</v>
      </c>
      <c r="I9" s="351" t="s">
        <v>242</v>
      </c>
      <c r="J9" s="341"/>
      <c r="K9" s="361" t="s">
        <v>241</v>
      </c>
      <c r="L9" s="363"/>
      <c r="M9" s="361" t="s">
        <v>327</v>
      </c>
      <c r="N9" s="363"/>
    </row>
    <row r="10" spans="1:16" ht="13.5" customHeight="1" x14ac:dyDescent="0.25">
      <c r="A10" s="261"/>
      <c r="B10" s="268"/>
      <c r="C10" s="364"/>
      <c r="D10" s="364"/>
      <c r="E10" s="364"/>
      <c r="F10" s="269"/>
      <c r="G10" s="268"/>
      <c r="H10" s="262"/>
      <c r="I10" s="366"/>
      <c r="J10" s="367"/>
      <c r="K10" s="366"/>
      <c r="L10" s="367"/>
      <c r="M10" s="364"/>
      <c r="N10" s="365"/>
    </row>
    <row r="11" spans="1:16" customFormat="1" ht="13.8" x14ac:dyDescent="0.25">
      <c r="A11" s="278">
        <v>2</v>
      </c>
      <c r="B11" s="278" t="s">
        <v>1793</v>
      </c>
      <c r="C11" s="336" t="s">
        <v>1794</v>
      </c>
      <c r="D11" s="336"/>
      <c r="E11" s="336"/>
      <c r="F11" s="278" t="s">
        <v>373</v>
      </c>
      <c r="G11" s="278" t="s">
        <v>1795</v>
      </c>
      <c r="H11" s="278"/>
      <c r="I11" s="336" t="s">
        <v>390</v>
      </c>
      <c r="J11" s="336"/>
      <c r="K11" s="348" t="s">
        <v>1852</v>
      </c>
      <c r="L11" s="336"/>
      <c r="M11" s="336">
        <v>78.02</v>
      </c>
      <c r="N11" s="336"/>
    </row>
    <row r="12" spans="1:16" customFormat="1" ht="13.8" x14ac:dyDescent="0.25">
      <c r="A12" s="278">
        <v>5</v>
      </c>
      <c r="B12" s="278" t="s">
        <v>1796</v>
      </c>
      <c r="C12" s="336" t="s">
        <v>1797</v>
      </c>
      <c r="D12" s="336"/>
      <c r="E12" s="336"/>
      <c r="F12" s="278" t="s">
        <v>376</v>
      </c>
      <c r="G12" s="278" t="s">
        <v>1795</v>
      </c>
      <c r="H12" s="278"/>
      <c r="I12" s="336" t="s">
        <v>390</v>
      </c>
      <c r="J12" s="336"/>
      <c r="K12" s="348" t="s">
        <v>1853</v>
      </c>
      <c r="L12" s="336"/>
      <c r="M12" s="336">
        <v>114.15</v>
      </c>
      <c r="N12" s="336"/>
    </row>
    <row r="13" spans="1:16" customFormat="1" ht="13.8" x14ac:dyDescent="0.25">
      <c r="A13" s="348" t="s">
        <v>1802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</row>
    <row r="14" spans="1:16" customFormat="1" ht="13.8" x14ac:dyDescent="0.25">
      <c r="A14" s="278">
        <v>2</v>
      </c>
      <c r="B14" s="278" t="s">
        <v>1798</v>
      </c>
      <c r="C14" s="336" t="s">
        <v>1797</v>
      </c>
      <c r="D14" s="336"/>
      <c r="E14" s="336"/>
      <c r="F14" s="278" t="s">
        <v>378</v>
      </c>
      <c r="G14" s="278" t="s">
        <v>1795</v>
      </c>
      <c r="H14" s="278"/>
      <c r="I14" s="336" t="s">
        <v>390</v>
      </c>
      <c r="J14" s="336"/>
      <c r="K14" s="348" t="s">
        <v>1854</v>
      </c>
      <c r="L14" s="336"/>
      <c r="M14" s="336">
        <v>193.84</v>
      </c>
      <c r="N14" s="336"/>
    </row>
    <row r="15" spans="1:16" customFormat="1" ht="13.8" x14ac:dyDescent="0.25">
      <c r="A15" s="348" t="s">
        <v>1804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</row>
    <row r="16" spans="1:16" customFormat="1" ht="13.8" x14ac:dyDescent="0.25">
      <c r="A16" s="278">
        <v>1</v>
      </c>
      <c r="B16" s="278" t="s">
        <v>1799</v>
      </c>
      <c r="C16" s="336" t="s">
        <v>1797</v>
      </c>
      <c r="D16" s="336"/>
      <c r="E16" s="336"/>
      <c r="F16" s="278" t="s">
        <v>378</v>
      </c>
      <c r="G16" s="278" t="s">
        <v>1739</v>
      </c>
      <c r="H16" s="278"/>
      <c r="I16" s="336" t="s">
        <v>390</v>
      </c>
      <c r="J16" s="336"/>
      <c r="K16" s="348" t="s">
        <v>1855</v>
      </c>
      <c r="L16" s="336"/>
      <c r="M16" s="336">
        <v>28.48</v>
      </c>
      <c r="N16" s="336"/>
    </row>
    <row r="17" spans="1:14" customFormat="1" ht="13.8" x14ac:dyDescent="0.25">
      <c r="A17" s="278">
        <v>1</v>
      </c>
      <c r="B17" s="278" t="s">
        <v>1800</v>
      </c>
      <c r="C17" s="336" t="s">
        <v>1797</v>
      </c>
      <c r="D17" s="336"/>
      <c r="E17" s="336"/>
      <c r="F17" s="278" t="s">
        <v>378</v>
      </c>
      <c r="G17" s="278" t="s">
        <v>1739</v>
      </c>
      <c r="H17" s="278"/>
      <c r="I17" s="336" t="s">
        <v>390</v>
      </c>
      <c r="J17" s="336"/>
      <c r="K17" s="348" t="s">
        <v>1856</v>
      </c>
      <c r="L17" s="336"/>
      <c r="M17" s="336">
        <v>8.93</v>
      </c>
      <c r="N17" s="336"/>
    </row>
    <row r="18" spans="1:14" customFormat="1" ht="13.8" x14ac:dyDescent="0.25">
      <c r="A18" s="278">
        <v>1</v>
      </c>
      <c r="B18" s="278" t="s">
        <v>1801</v>
      </c>
      <c r="C18" s="336" t="s">
        <v>1797</v>
      </c>
      <c r="D18" s="336"/>
      <c r="E18" s="336"/>
      <c r="F18" s="278" t="s">
        <v>376</v>
      </c>
      <c r="G18" s="278" t="s">
        <v>1795</v>
      </c>
      <c r="H18" s="278"/>
      <c r="I18" s="336" t="s">
        <v>390</v>
      </c>
      <c r="J18" s="336"/>
      <c r="K18" s="348" t="s">
        <v>1853</v>
      </c>
      <c r="L18" s="336"/>
      <c r="M18" s="336">
        <v>22.83</v>
      </c>
      <c r="N18" s="336"/>
    </row>
    <row r="19" spans="1:14" customFormat="1" ht="13.8" x14ac:dyDescent="0.25">
      <c r="A19" s="348" t="s">
        <v>1803</v>
      </c>
      <c r="B19" s="336"/>
      <c r="C19" s="336"/>
      <c r="D19" s="336"/>
      <c r="E19" s="336"/>
      <c r="F19" s="336"/>
      <c r="G19" s="336"/>
      <c r="H19" s="336"/>
      <c r="I19" s="336"/>
      <c r="J19" s="336"/>
      <c r="K19" s="336"/>
      <c r="L19" s="336"/>
      <c r="M19" s="336"/>
      <c r="N19" s="336"/>
    </row>
    <row r="21" spans="1:14" x14ac:dyDescent="0.25">
      <c r="I21" s="260"/>
      <c r="J21" s="260"/>
      <c r="K21" s="369" t="s">
        <v>263</v>
      </c>
      <c r="L21" s="369"/>
      <c r="M21" s="368">
        <f>SUM(M11:M19)</f>
        <v>446.25</v>
      </c>
      <c r="N21" s="368"/>
    </row>
  </sheetData>
  <sheetProtection formatCells="0" formatRows="0" insertRows="0" deleteRows="0"/>
  <mergeCells count="61">
    <mergeCell ref="A15:N15"/>
    <mergeCell ref="C16:E16"/>
    <mergeCell ref="I16:J16"/>
    <mergeCell ref="K16:L16"/>
    <mergeCell ref="M16:N16"/>
    <mergeCell ref="C18:E18"/>
    <mergeCell ref="I18:J18"/>
    <mergeCell ref="K18:L18"/>
    <mergeCell ref="M18:N18"/>
    <mergeCell ref="C12:E12"/>
    <mergeCell ref="I12:J12"/>
    <mergeCell ref="K12:L12"/>
    <mergeCell ref="M12:N12"/>
    <mergeCell ref="A13:N13"/>
    <mergeCell ref="C14:E14"/>
    <mergeCell ref="I14:J14"/>
    <mergeCell ref="K14:L14"/>
    <mergeCell ref="M14:N14"/>
    <mergeCell ref="M21:N21"/>
    <mergeCell ref="K21:L21"/>
    <mergeCell ref="I17:J17"/>
    <mergeCell ref="C17:E17"/>
    <mergeCell ref="M17:N17"/>
    <mergeCell ref="K17:L17"/>
    <mergeCell ref="A19:N19"/>
    <mergeCell ref="G6:H6"/>
    <mergeCell ref="C10:E10"/>
    <mergeCell ref="M10:N10"/>
    <mergeCell ref="K10:L10"/>
    <mergeCell ref="C11:E11"/>
    <mergeCell ref="K11:L11"/>
    <mergeCell ref="I11:J11"/>
    <mergeCell ref="M11:N11"/>
    <mergeCell ref="I10:J10"/>
    <mergeCell ref="M2:N2"/>
    <mergeCell ref="M5:N5"/>
    <mergeCell ref="I6:N6"/>
    <mergeCell ref="G4:H4"/>
    <mergeCell ref="G3:H3"/>
    <mergeCell ref="I4:J4"/>
    <mergeCell ref="K4:L4"/>
    <mergeCell ref="M4:N4"/>
    <mergeCell ref="I3:J3"/>
    <mergeCell ref="K3:L3"/>
    <mergeCell ref="M3:N3"/>
    <mergeCell ref="G5:H5"/>
    <mergeCell ref="C9:E9"/>
    <mergeCell ref="C7:N7"/>
    <mergeCell ref="M9:N9"/>
    <mergeCell ref="K9:L9"/>
    <mergeCell ref="I9:J9"/>
    <mergeCell ref="A8:N8"/>
    <mergeCell ref="A7:B7"/>
    <mergeCell ref="I5:J5"/>
    <mergeCell ref="K5:L5"/>
    <mergeCell ref="G1:H1"/>
    <mergeCell ref="I1:J1"/>
    <mergeCell ref="K1:L1"/>
    <mergeCell ref="I2:J2"/>
    <mergeCell ref="K2:L2"/>
    <mergeCell ref="G2:H2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F13 F19 F17 F15 F11" xr:uid="{DF024152-AF54-4FCA-B96A-57435FF4267C}">
      <formula1>ColdForm</formula1>
    </dataValidation>
    <dataValidation type="list" errorStyle="warning" allowBlank="1" showInputMessage="1" showErrorMessage="1" errorTitle="Unlisted" error="You have entered an unlisted item.  Please make sure the item entered is correct." sqref="I13 I19 I17 I15 I11" xr:uid="{8C152911-C69C-42A1-842D-E9D72EA21944}">
      <formula1>Coatings</formula1>
    </dataValidation>
    <dataValidation errorStyle="warning" allowBlank="1" showInputMessage="1" showErrorMessage="1" errorTitle="Unlisted" error="You have entered an unlisted item.  Please make sure the item entered is correct." sqref="H13 H19 H17 H15 H11" xr:uid="{A920E4BB-6934-41A3-8FB6-EBBDDDB2B6A2}"/>
  </dataValidations>
  <pageMargins left="0.25" right="0.25" top="0.25" bottom="0.25" header="0.5" footer="0.5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5272-67FF-45EC-8F33-558C7BFC36EC}">
  <sheetPr codeName="Sheet40"/>
  <dimension ref="A1:P38"/>
  <sheetViews>
    <sheetView topLeftCell="A7" workbookViewId="0">
      <selection activeCell="K34" sqref="K34:L35"/>
    </sheetView>
  </sheetViews>
  <sheetFormatPr defaultColWidth="9.21875" defaultRowHeight="13.2" x14ac:dyDescent="0.25"/>
  <cols>
    <col min="1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48"/>
      <c r="F1" s="247"/>
      <c r="G1" s="352"/>
      <c r="H1" s="353"/>
      <c r="I1" s="353" t="s">
        <v>1351</v>
      </c>
      <c r="J1" s="353"/>
      <c r="K1" s="354">
        <v>3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42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42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42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42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38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42" t="s">
        <v>1276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43"/>
      <c r="O8" s="236"/>
      <c r="P8" s="236"/>
    </row>
    <row r="9" spans="1:16" ht="22.5" customHeight="1" thickBot="1" x14ac:dyDescent="0.3">
      <c r="A9" s="264" t="s">
        <v>238</v>
      </c>
      <c r="B9" s="264" t="s">
        <v>239</v>
      </c>
      <c r="C9" s="361" t="s">
        <v>240</v>
      </c>
      <c r="D9" s="362"/>
      <c r="E9" s="363"/>
      <c r="F9" s="266" t="s">
        <v>272</v>
      </c>
      <c r="G9" s="265" t="s">
        <v>264</v>
      </c>
      <c r="H9" s="193" t="s">
        <v>271</v>
      </c>
      <c r="I9" s="351" t="s">
        <v>242</v>
      </c>
      <c r="J9" s="341"/>
      <c r="K9" s="361" t="s">
        <v>241</v>
      </c>
      <c r="L9" s="363"/>
      <c r="M9" s="361" t="s">
        <v>327</v>
      </c>
      <c r="N9" s="363"/>
    </row>
    <row r="10" spans="1:16" ht="13.5" customHeight="1" x14ac:dyDescent="0.25">
      <c r="A10" s="261"/>
      <c r="B10" s="268"/>
      <c r="C10" s="364"/>
      <c r="D10" s="364"/>
      <c r="E10" s="364"/>
      <c r="F10" s="269"/>
      <c r="G10" s="268"/>
      <c r="H10" s="262"/>
      <c r="I10" s="366"/>
      <c r="J10" s="367"/>
      <c r="K10" s="366"/>
      <c r="L10" s="367"/>
      <c r="M10" s="364"/>
      <c r="N10" s="365"/>
    </row>
    <row r="11" spans="1:16" ht="13.5" customHeight="1" x14ac:dyDescent="0.25">
      <c r="A11" s="277">
        <v>1</v>
      </c>
      <c r="B11" s="277" t="s">
        <v>1730</v>
      </c>
      <c r="C11" s="370" t="s">
        <v>1729</v>
      </c>
      <c r="D11" s="370"/>
      <c r="E11" s="370"/>
      <c r="F11" s="277" t="s">
        <v>360</v>
      </c>
      <c r="G11" s="277" t="s">
        <v>1731</v>
      </c>
      <c r="H11" s="277"/>
      <c r="I11" s="370" t="s">
        <v>390</v>
      </c>
      <c r="J11" s="370"/>
      <c r="K11" s="348" t="s">
        <v>1845</v>
      </c>
      <c r="L11" s="370"/>
      <c r="M11" s="370">
        <v>4.58</v>
      </c>
      <c r="N11" s="370"/>
    </row>
    <row r="12" spans="1:16" ht="13.5" customHeight="1" x14ac:dyDescent="0.25">
      <c r="A12" s="277">
        <v>1</v>
      </c>
      <c r="B12" s="277" t="s">
        <v>1732</v>
      </c>
      <c r="C12" s="370" t="s">
        <v>1729</v>
      </c>
      <c r="D12" s="370"/>
      <c r="E12" s="370"/>
      <c r="F12" s="277" t="s">
        <v>360</v>
      </c>
      <c r="G12" s="277" t="s">
        <v>1733</v>
      </c>
      <c r="H12" s="277"/>
      <c r="I12" s="370" t="s">
        <v>390</v>
      </c>
      <c r="J12" s="370"/>
      <c r="K12" s="348" t="s">
        <v>1846</v>
      </c>
      <c r="L12" s="370"/>
      <c r="M12" s="370">
        <v>16.649999999999999</v>
      </c>
      <c r="N12" s="370"/>
    </row>
    <row r="13" spans="1:16" ht="13.5" customHeight="1" x14ac:dyDescent="0.25">
      <c r="A13" s="348" t="s">
        <v>1778</v>
      </c>
      <c r="B13" s="370"/>
      <c r="C13" s="370"/>
      <c r="D13" s="370"/>
      <c r="E13" s="370"/>
      <c r="F13" s="370"/>
      <c r="G13" s="370"/>
      <c r="H13" s="370"/>
      <c r="I13" s="370"/>
      <c r="J13" s="370"/>
      <c r="K13" s="370"/>
      <c r="L13" s="370"/>
      <c r="M13" s="370"/>
      <c r="N13" s="370"/>
    </row>
    <row r="14" spans="1:16" ht="13.5" customHeight="1" x14ac:dyDescent="0.25">
      <c r="A14" s="277">
        <v>2</v>
      </c>
      <c r="B14" s="277" t="s">
        <v>1734</v>
      </c>
      <c r="C14" s="370" t="s">
        <v>1729</v>
      </c>
      <c r="D14" s="370"/>
      <c r="E14" s="370"/>
      <c r="F14" s="277" t="s">
        <v>360</v>
      </c>
      <c r="G14" s="277" t="s">
        <v>1733</v>
      </c>
      <c r="H14" s="277"/>
      <c r="I14" s="370" t="s">
        <v>390</v>
      </c>
      <c r="J14" s="370"/>
      <c r="K14" s="348" t="s">
        <v>1846</v>
      </c>
      <c r="L14" s="370"/>
      <c r="M14" s="370">
        <v>33.299999999999997</v>
      </c>
      <c r="N14" s="370"/>
    </row>
    <row r="15" spans="1:16" ht="13.5" customHeight="1" x14ac:dyDescent="0.25">
      <c r="A15" s="348" t="s">
        <v>1779</v>
      </c>
      <c r="B15" s="370"/>
      <c r="C15" s="370"/>
      <c r="D15" s="370"/>
      <c r="E15" s="370"/>
      <c r="F15" s="370"/>
      <c r="G15" s="370"/>
      <c r="H15" s="370"/>
      <c r="I15" s="370"/>
      <c r="J15" s="370"/>
      <c r="K15" s="370"/>
      <c r="L15" s="370"/>
      <c r="M15" s="370"/>
      <c r="N15" s="370"/>
    </row>
    <row r="16" spans="1:16" ht="13.5" customHeight="1" x14ac:dyDescent="0.25">
      <c r="A16" s="277">
        <v>1</v>
      </c>
      <c r="B16" s="277" t="s">
        <v>1735</v>
      </c>
      <c r="C16" s="370" t="s">
        <v>1729</v>
      </c>
      <c r="D16" s="370"/>
      <c r="E16" s="370"/>
      <c r="F16" s="277" t="s">
        <v>365</v>
      </c>
      <c r="G16" s="277" t="s">
        <v>1736</v>
      </c>
      <c r="H16" s="277"/>
      <c r="I16" s="370" t="s">
        <v>390</v>
      </c>
      <c r="J16" s="370"/>
      <c r="K16" s="348" t="s">
        <v>1847</v>
      </c>
      <c r="L16" s="370"/>
      <c r="M16" s="370">
        <v>141.94999999999999</v>
      </c>
      <c r="N16" s="370"/>
    </row>
    <row r="17" spans="1:14" ht="13.5" customHeight="1" x14ac:dyDescent="0.25">
      <c r="A17" s="348" t="s">
        <v>1780</v>
      </c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</row>
    <row r="18" spans="1:14" ht="13.5" customHeight="1" x14ac:dyDescent="0.25">
      <c r="A18" s="277">
        <v>4</v>
      </c>
      <c r="B18" s="277" t="s">
        <v>1737</v>
      </c>
      <c r="C18" s="370" t="s">
        <v>1729</v>
      </c>
      <c r="D18" s="370"/>
      <c r="E18" s="370"/>
      <c r="F18" s="277" t="s">
        <v>360</v>
      </c>
      <c r="G18" s="277" t="s">
        <v>1733</v>
      </c>
      <c r="H18" s="277"/>
      <c r="I18" s="370" t="s">
        <v>390</v>
      </c>
      <c r="J18" s="370"/>
      <c r="K18" s="348" t="s">
        <v>1848</v>
      </c>
      <c r="L18" s="370"/>
      <c r="M18" s="370">
        <v>14.56</v>
      </c>
      <c r="N18" s="370"/>
    </row>
    <row r="19" spans="1:14" ht="13.5" customHeight="1" x14ac:dyDescent="0.25">
      <c r="A19" s="348" t="s">
        <v>1781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</row>
    <row r="20" spans="1:14" ht="13.5" customHeight="1" x14ac:dyDescent="0.25">
      <c r="A20" s="277">
        <v>4</v>
      </c>
      <c r="B20" s="277" t="s">
        <v>1738</v>
      </c>
      <c r="C20" s="370" t="s">
        <v>1729</v>
      </c>
      <c r="D20" s="370"/>
      <c r="E20" s="370"/>
      <c r="F20" s="277" t="s">
        <v>360</v>
      </c>
      <c r="G20" s="277" t="s">
        <v>1739</v>
      </c>
      <c r="H20" s="277"/>
      <c r="I20" s="370" t="s">
        <v>390</v>
      </c>
      <c r="J20" s="370"/>
      <c r="K20" s="348" t="s">
        <v>1849</v>
      </c>
      <c r="L20" s="370"/>
      <c r="M20" s="370">
        <v>22</v>
      </c>
      <c r="N20" s="370"/>
    </row>
    <row r="21" spans="1:14" s="256" customFormat="1" ht="13.5" customHeight="1" x14ac:dyDescent="0.25">
      <c r="A21" s="348" t="s">
        <v>1782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 s="370"/>
      <c r="M21" s="370"/>
      <c r="N21" s="370"/>
    </row>
    <row r="22" spans="1:14" ht="13.5" customHeight="1" x14ac:dyDescent="0.25">
      <c r="A22" s="277">
        <v>1</v>
      </c>
      <c r="B22" s="277" t="s">
        <v>1740</v>
      </c>
      <c r="C22" s="370" t="s">
        <v>1729</v>
      </c>
      <c r="D22" s="370"/>
      <c r="E22" s="370"/>
      <c r="F22" s="277" t="s">
        <v>362</v>
      </c>
      <c r="G22" s="277" t="s">
        <v>1736</v>
      </c>
      <c r="H22" s="277"/>
      <c r="I22" s="370" t="s">
        <v>390</v>
      </c>
      <c r="J22" s="370"/>
      <c r="K22" s="371" t="s">
        <v>1850</v>
      </c>
      <c r="L22" s="372"/>
      <c r="M22" s="370">
        <v>151.19999999999999</v>
      </c>
      <c r="N22" s="370"/>
    </row>
    <row r="23" spans="1:14" ht="13.5" customHeight="1" x14ac:dyDescent="0.25">
      <c r="A23" s="277">
        <v>1</v>
      </c>
      <c r="B23" s="277" t="s">
        <v>1741</v>
      </c>
      <c r="C23" s="370" t="s">
        <v>1729</v>
      </c>
      <c r="D23" s="370"/>
      <c r="E23" s="370"/>
      <c r="F23" s="277" t="s">
        <v>364</v>
      </c>
      <c r="G23" s="277" t="s">
        <v>1736</v>
      </c>
      <c r="H23" s="277"/>
      <c r="I23" s="370" t="s">
        <v>390</v>
      </c>
      <c r="J23" s="370"/>
      <c r="K23" s="371" t="s">
        <v>1850</v>
      </c>
      <c r="L23" s="372"/>
      <c r="M23" s="370">
        <v>116.34</v>
      </c>
      <c r="N23" s="370"/>
    </row>
    <row r="24" spans="1:14" ht="13.5" customHeight="1" x14ac:dyDescent="0.25">
      <c r="A24" s="277">
        <v>1</v>
      </c>
      <c r="B24" s="277" t="s">
        <v>1742</v>
      </c>
      <c r="C24" s="370" t="s">
        <v>1729</v>
      </c>
      <c r="D24" s="370"/>
      <c r="E24" s="370"/>
      <c r="F24" s="277" t="s">
        <v>361</v>
      </c>
      <c r="G24" s="277" t="s">
        <v>1736</v>
      </c>
      <c r="H24" s="277"/>
      <c r="I24" s="370" t="s">
        <v>390</v>
      </c>
      <c r="J24" s="370"/>
      <c r="K24" s="371" t="s">
        <v>1850</v>
      </c>
      <c r="L24" s="372"/>
      <c r="M24" s="370">
        <v>101.57</v>
      </c>
      <c r="N24" s="370"/>
    </row>
    <row r="25" spans="1:14" ht="13.5" customHeight="1" x14ac:dyDescent="0.25">
      <c r="A25" s="277">
        <v>1</v>
      </c>
      <c r="B25" s="277" t="s">
        <v>1743</v>
      </c>
      <c r="C25" s="370" t="s">
        <v>1729</v>
      </c>
      <c r="D25" s="370"/>
      <c r="E25" s="370"/>
      <c r="F25" s="277" t="s">
        <v>365</v>
      </c>
      <c r="G25" s="277" t="s">
        <v>1736</v>
      </c>
      <c r="H25" s="277"/>
      <c r="I25" s="370" t="s">
        <v>390</v>
      </c>
      <c r="J25" s="370"/>
      <c r="K25" s="371" t="s">
        <v>1850</v>
      </c>
      <c r="L25" s="372"/>
      <c r="M25" s="370">
        <v>173.03</v>
      </c>
      <c r="N25" s="370"/>
    </row>
    <row r="26" spans="1:14" ht="13.5" customHeight="1" x14ac:dyDescent="0.25">
      <c r="A26" s="277">
        <v>1</v>
      </c>
      <c r="B26" s="277" t="s">
        <v>1744</v>
      </c>
      <c r="C26" s="370" t="s">
        <v>1729</v>
      </c>
      <c r="D26" s="370"/>
      <c r="E26" s="370"/>
      <c r="F26" s="277" t="s">
        <v>361</v>
      </c>
      <c r="G26" s="277" t="s">
        <v>1736</v>
      </c>
      <c r="H26" s="277"/>
      <c r="I26" s="370" t="s">
        <v>390</v>
      </c>
      <c r="J26" s="370"/>
      <c r="K26" s="371" t="s">
        <v>1868</v>
      </c>
      <c r="L26" s="372"/>
      <c r="M26" s="370">
        <v>75.650000000000006</v>
      </c>
      <c r="N26" s="370"/>
    </row>
    <row r="27" spans="1:14" ht="13.5" customHeight="1" x14ac:dyDescent="0.25">
      <c r="A27" s="277">
        <v>1</v>
      </c>
      <c r="B27" s="277" t="s">
        <v>1745</v>
      </c>
      <c r="C27" s="370" t="s">
        <v>1729</v>
      </c>
      <c r="D27" s="370"/>
      <c r="E27" s="370"/>
      <c r="F27" s="277" t="s">
        <v>365</v>
      </c>
      <c r="G27" s="277" t="s">
        <v>1736</v>
      </c>
      <c r="H27" s="277"/>
      <c r="I27" s="370" t="s">
        <v>390</v>
      </c>
      <c r="J27" s="370"/>
      <c r="K27" s="371" t="s">
        <v>1869</v>
      </c>
      <c r="L27" s="372"/>
      <c r="M27" s="370">
        <v>169.27</v>
      </c>
      <c r="N27" s="370"/>
    </row>
    <row r="28" spans="1:14" ht="13.5" customHeight="1" x14ac:dyDescent="0.25">
      <c r="A28" s="348" t="s">
        <v>1783</v>
      </c>
      <c r="B28" s="370"/>
      <c r="C28" s="370"/>
      <c r="D28" s="370"/>
      <c r="E28" s="370"/>
      <c r="F28" s="370"/>
      <c r="G28" s="370"/>
      <c r="H28" s="370"/>
      <c r="I28" s="370"/>
      <c r="J28" s="370"/>
      <c r="K28" s="370"/>
      <c r="L28" s="370"/>
      <c r="M28" s="370"/>
      <c r="N28" s="370"/>
    </row>
    <row r="29" spans="1:14" ht="13.5" customHeight="1" x14ac:dyDescent="0.25">
      <c r="A29" s="277">
        <v>1</v>
      </c>
      <c r="B29" s="277" t="s">
        <v>1747</v>
      </c>
      <c r="C29" s="370" t="s">
        <v>1729</v>
      </c>
      <c r="D29" s="370"/>
      <c r="E29" s="370"/>
      <c r="F29" s="277" t="s">
        <v>362</v>
      </c>
      <c r="G29" s="277" t="s">
        <v>1736</v>
      </c>
      <c r="H29" s="277"/>
      <c r="I29" s="370" t="s">
        <v>390</v>
      </c>
      <c r="J29" s="370"/>
      <c r="K29" s="371" t="s">
        <v>1869</v>
      </c>
      <c r="L29" s="372"/>
      <c r="M29" s="370">
        <v>147.91</v>
      </c>
      <c r="N29" s="370"/>
    </row>
    <row r="30" spans="1:14" ht="13.5" customHeight="1" x14ac:dyDescent="0.25">
      <c r="A30" s="277">
        <v>1</v>
      </c>
      <c r="B30" s="277" t="s">
        <v>1748</v>
      </c>
      <c r="C30" s="370" t="s">
        <v>1729</v>
      </c>
      <c r="D30" s="370"/>
      <c r="E30" s="370"/>
      <c r="F30" s="277" t="s">
        <v>365</v>
      </c>
      <c r="G30" s="277" t="s">
        <v>1736</v>
      </c>
      <c r="H30" s="277"/>
      <c r="I30" s="370" t="s">
        <v>390</v>
      </c>
      <c r="J30" s="370"/>
      <c r="K30" s="371" t="s">
        <v>1869</v>
      </c>
      <c r="L30" s="372"/>
      <c r="M30" s="370">
        <v>169.27</v>
      </c>
      <c r="N30" s="370"/>
    </row>
    <row r="31" spans="1:14" ht="13.5" customHeight="1" x14ac:dyDescent="0.25">
      <c r="A31" s="277">
        <v>1</v>
      </c>
      <c r="B31" s="277" t="s">
        <v>1749</v>
      </c>
      <c r="C31" s="370" t="s">
        <v>1729</v>
      </c>
      <c r="D31" s="370"/>
      <c r="E31" s="370"/>
      <c r="F31" s="277" t="s">
        <v>360</v>
      </c>
      <c r="G31" s="277" t="s">
        <v>1731</v>
      </c>
      <c r="H31" s="277"/>
      <c r="I31" s="370" t="s">
        <v>390</v>
      </c>
      <c r="J31" s="370"/>
      <c r="K31" s="371" t="s">
        <v>1870</v>
      </c>
      <c r="L31" s="372"/>
      <c r="M31" s="370">
        <v>8.77</v>
      </c>
      <c r="N31" s="370"/>
    </row>
    <row r="32" spans="1:14" ht="13.5" customHeight="1" x14ac:dyDescent="0.25">
      <c r="A32" s="277">
        <v>4</v>
      </c>
      <c r="B32" s="277" t="s">
        <v>1750</v>
      </c>
      <c r="C32" s="370" t="s">
        <v>1729</v>
      </c>
      <c r="D32" s="370"/>
      <c r="E32" s="370"/>
      <c r="F32" s="277" t="s">
        <v>360</v>
      </c>
      <c r="G32" s="277" t="s">
        <v>1736</v>
      </c>
      <c r="H32" s="277"/>
      <c r="I32" s="370" t="s">
        <v>390</v>
      </c>
      <c r="J32" s="370"/>
      <c r="K32" s="371" t="s">
        <v>1871</v>
      </c>
      <c r="L32" s="372"/>
      <c r="M32" s="370">
        <v>258.39999999999998</v>
      </c>
      <c r="N32" s="370"/>
    </row>
    <row r="33" spans="1:14" ht="13.5" customHeight="1" x14ac:dyDescent="0.25">
      <c r="A33" s="348" t="s">
        <v>1784</v>
      </c>
      <c r="B33" s="370"/>
      <c r="C33" s="370"/>
      <c r="D33" s="370"/>
      <c r="E33" s="370"/>
      <c r="F33" s="370"/>
      <c r="G33" s="370"/>
      <c r="H33" s="370"/>
      <c r="I33" s="370"/>
      <c r="J33" s="370"/>
      <c r="K33" s="370"/>
      <c r="L33" s="370"/>
      <c r="M33" s="370"/>
      <c r="N33" s="370"/>
    </row>
    <row r="34" spans="1:14" ht="13.5" customHeight="1" x14ac:dyDescent="0.25">
      <c r="A34" s="277">
        <v>1</v>
      </c>
      <c r="B34" s="277" t="s">
        <v>1751</v>
      </c>
      <c r="C34" s="370" t="s">
        <v>1729</v>
      </c>
      <c r="D34" s="370"/>
      <c r="E34" s="370"/>
      <c r="F34" s="277" t="s">
        <v>362</v>
      </c>
      <c r="G34" s="277" t="s">
        <v>1736</v>
      </c>
      <c r="H34" s="277"/>
      <c r="I34" s="370" t="s">
        <v>390</v>
      </c>
      <c r="J34" s="370"/>
      <c r="K34" s="371" t="s">
        <v>1869</v>
      </c>
      <c r="L34" s="372"/>
      <c r="M34" s="370">
        <v>147.91</v>
      </c>
      <c r="N34" s="370"/>
    </row>
    <row r="35" spans="1:14" ht="13.5" customHeight="1" x14ac:dyDescent="0.25">
      <c r="A35" s="277">
        <v>1</v>
      </c>
      <c r="B35" s="277" t="s">
        <v>1752</v>
      </c>
      <c r="C35" s="370" t="s">
        <v>1729</v>
      </c>
      <c r="D35" s="370"/>
      <c r="E35" s="370"/>
      <c r="F35" s="277" t="s">
        <v>360</v>
      </c>
      <c r="G35" s="277" t="s">
        <v>1753</v>
      </c>
      <c r="H35" s="277"/>
      <c r="I35" s="370" t="s">
        <v>390</v>
      </c>
      <c r="J35" s="370"/>
      <c r="K35" s="371" t="s">
        <v>1871</v>
      </c>
      <c r="L35" s="372"/>
      <c r="M35" s="370">
        <v>64.599999999999994</v>
      </c>
      <c r="N35" s="370"/>
    </row>
    <row r="36" spans="1:14" ht="13.5" customHeight="1" x14ac:dyDescent="0.25">
      <c r="A36" s="348" t="s">
        <v>1785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</row>
    <row r="38" spans="1:14" x14ac:dyDescent="0.25">
      <c r="I38" s="260"/>
      <c r="J38" s="260"/>
      <c r="K38" s="356" t="s">
        <v>263</v>
      </c>
      <c r="L38" s="356"/>
      <c r="M38" s="355">
        <f>SUM(M11:M36)</f>
        <v>1816.9599999999998</v>
      </c>
      <c r="N38" s="355"/>
    </row>
  </sheetData>
  <sheetProtection formatCells="0" formatRows="0" insertRows="0" deleteRows="0"/>
  <mergeCells count="114">
    <mergeCell ref="C32:E32"/>
    <mergeCell ref="I22:J22"/>
    <mergeCell ref="K22:L22"/>
    <mergeCell ref="M22:N22"/>
    <mergeCell ref="C24:E24"/>
    <mergeCell ref="M27:N27"/>
    <mergeCell ref="C31:E31"/>
    <mergeCell ref="M26:N26"/>
    <mergeCell ref="C30:E30"/>
    <mergeCell ref="K29:L29"/>
    <mergeCell ref="M29:N29"/>
    <mergeCell ref="I27:J27"/>
    <mergeCell ref="K27:L27"/>
    <mergeCell ref="I30:J30"/>
    <mergeCell ref="K30:L30"/>
    <mergeCell ref="M30:N30"/>
    <mergeCell ref="A36:N36"/>
    <mergeCell ref="I32:J32"/>
    <mergeCell ref="K32:L32"/>
    <mergeCell ref="M32:N32"/>
    <mergeCell ref="A33:N33"/>
    <mergeCell ref="C22:E22"/>
    <mergeCell ref="C35:E35"/>
    <mergeCell ref="I35:J35"/>
    <mergeCell ref="K35:L35"/>
    <mergeCell ref="M35:N35"/>
    <mergeCell ref="I24:J24"/>
    <mergeCell ref="K24:L24"/>
    <mergeCell ref="M24:N24"/>
    <mergeCell ref="C23:E23"/>
    <mergeCell ref="I23:J23"/>
    <mergeCell ref="C18:E18"/>
    <mergeCell ref="I18:J18"/>
    <mergeCell ref="K18:L18"/>
    <mergeCell ref="M18:N18"/>
    <mergeCell ref="A19:N19"/>
    <mergeCell ref="K20:L20"/>
    <mergeCell ref="M20:N20"/>
    <mergeCell ref="A15:N15"/>
    <mergeCell ref="C16:E16"/>
    <mergeCell ref="I16:J16"/>
    <mergeCell ref="K16:L16"/>
    <mergeCell ref="M16:N16"/>
    <mergeCell ref="A17:N17"/>
    <mergeCell ref="I26:J26"/>
    <mergeCell ref="K23:L23"/>
    <mergeCell ref="M23:N23"/>
    <mergeCell ref="A21:N21"/>
    <mergeCell ref="C14:E14"/>
    <mergeCell ref="I14:J14"/>
    <mergeCell ref="K14:L14"/>
    <mergeCell ref="M14:N14"/>
    <mergeCell ref="C20:E20"/>
    <mergeCell ref="I20:J20"/>
    <mergeCell ref="K26:L26"/>
    <mergeCell ref="A28:N28"/>
    <mergeCell ref="C29:E29"/>
    <mergeCell ref="I29:J29"/>
    <mergeCell ref="C12:E12"/>
    <mergeCell ref="I12:J12"/>
    <mergeCell ref="K12:L12"/>
    <mergeCell ref="M12:N12"/>
    <mergeCell ref="A13:N13"/>
    <mergeCell ref="C26:E26"/>
    <mergeCell ref="K34:L34"/>
    <mergeCell ref="C34:E34"/>
    <mergeCell ref="M34:N34"/>
    <mergeCell ref="I25:J25"/>
    <mergeCell ref="K25:L25"/>
    <mergeCell ref="M25:N25"/>
    <mergeCell ref="C27:E27"/>
    <mergeCell ref="I31:J31"/>
    <mergeCell ref="K31:L31"/>
    <mergeCell ref="M31:N31"/>
    <mergeCell ref="K38:L38"/>
    <mergeCell ref="I34:J34"/>
    <mergeCell ref="M38:N38"/>
    <mergeCell ref="C25:E25"/>
    <mergeCell ref="I6:N6"/>
    <mergeCell ref="G6:H6"/>
    <mergeCell ref="C10:E10"/>
    <mergeCell ref="C11:E11"/>
    <mergeCell ref="M10:N10"/>
    <mergeCell ref="M11:N11"/>
    <mergeCell ref="K10:L10"/>
    <mergeCell ref="K11:L11"/>
    <mergeCell ref="I10:J10"/>
    <mergeCell ref="I11:J11"/>
    <mergeCell ref="M2:N2"/>
    <mergeCell ref="G4:H4"/>
    <mergeCell ref="G3:H3"/>
    <mergeCell ref="I4:J4"/>
    <mergeCell ref="K4:L4"/>
    <mergeCell ref="M4:N4"/>
    <mergeCell ref="I3:J3"/>
    <mergeCell ref="K3:L3"/>
    <mergeCell ref="M3:N3"/>
    <mergeCell ref="M5:N5"/>
    <mergeCell ref="G5:H5"/>
    <mergeCell ref="C9:E9"/>
    <mergeCell ref="C7:N7"/>
    <mergeCell ref="M9:N9"/>
    <mergeCell ref="K9:L9"/>
    <mergeCell ref="I9:J9"/>
    <mergeCell ref="A8:N8"/>
    <mergeCell ref="A7:B7"/>
    <mergeCell ref="I5:J5"/>
    <mergeCell ref="K5:L5"/>
    <mergeCell ref="G1:H1"/>
    <mergeCell ref="I1:J1"/>
    <mergeCell ref="K1:L1"/>
    <mergeCell ref="I2:J2"/>
    <mergeCell ref="K2:L2"/>
    <mergeCell ref="G2:H2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I11 I13 I17 I33:I34 I31 I15 I19 I21 I23 I25 I27 I29 I36" xr:uid="{E6A73094-34D0-43ED-9D00-01BF08686E76}">
      <formula1>Coatings</formula1>
    </dataValidation>
    <dataValidation type="list" errorStyle="warning" allowBlank="1" showInputMessage="1" showErrorMessage="1" errorTitle="Unlisted" error="You have entered an unlisted item.  Please make sure the item entered is correct." sqref="F11 F13 F17 F33:F34 F31 F15 F19 F21 F23 F25 F27 F29 F36" xr:uid="{02EFAF22-030C-4D93-B240-61BD05984297}">
      <formula1>Zees</formula1>
    </dataValidation>
    <dataValidation errorStyle="warning" allowBlank="1" showInputMessage="1" showErrorMessage="1" errorTitle="Unlisted" error="You have entered an unlisted item.  Please make sure the item entered is correct." sqref="H11 H13 H17 H33:H34 H31 H15 H19 H21 H23 H25 H27 H29 H36" xr:uid="{16F3318B-0B32-42AC-916E-FE39FEA988F7}"/>
  </dataValidations>
  <pageMargins left="0.25" right="0.25" top="0.25" bottom="0.25" header="0.5" footer="0.5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B030-471A-4592-A90B-3FE657E51BF2}">
  <sheetPr codeName="Sheet96"/>
  <dimension ref="A1:P37"/>
  <sheetViews>
    <sheetView topLeftCell="A11" workbookViewId="0">
      <selection activeCell="P29" sqref="P29"/>
    </sheetView>
  </sheetViews>
  <sheetFormatPr defaultColWidth="9.21875" defaultRowHeight="13.2" x14ac:dyDescent="0.25"/>
  <cols>
    <col min="1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48"/>
      <c r="F1" s="247"/>
      <c r="G1" s="352"/>
      <c r="H1" s="353"/>
      <c r="I1" s="353" t="s">
        <v>1351</v>
      </c>
      <c r="J1" s="353"/>
      <c r="K1" s="354">
        <v>4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42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42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42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42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38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42" t="s">
        <v>1276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43"/>
      <c r="O8" s="236"/>
      <c r="P8" s="236"/>
    </row>
    <row r="9" spans="1:16" ht="22.5" customHeight="1" thickBot="1" x14ac:dyDescent="0.3">
      <c r="A9" s="264" t="s">
        <v>238</v>
      </c>
      <c r="B9" s="264" t="s">
        <v>239</v>
      </c>
      <c r="C9" s="361" t="s">
        <v>240</v>
      </c>
      <c r="D9" s="362"/>
      <c r="E9" s="363"/>
      <c r="F9" s="266" t="s">
        <v>272</v>
      </c>
      <c r="G9" s="265" t="s">
        <v>264</v>
      </c>
      <c r="H9" s="193" t="s">
        <v>271</v>
      </c>
      <c r="I9" s="351" t="s">
        <v>242</v>
      </c>
      <c r="J9" s="341"/>
      <c r="K9" s="361" t="s">
        <v>241</v>
      </c>
      <c r="L9" s="363"/>
      <c r="M9" s="361" t="s">
        <v>327</v>
      </c>
      <c r="N9" s="363"/>
    </row>
    <row r="10" spans="1:16" ht="13.5" customHeight="1" x14ac:dyDescent="0.25">
      <c r="A10" s="253"/>
      <c r="B10" s="254"/>
      <c r="C10" s="373"/>
      <c r="D10" s="373"/>
      <c r="E10" s="373"/>
      <c r="F10" s="267"/>
      <c r="G10" s="254"/>
      <c r="H10" s="255"/>
      <c r="I10" s="374"/>
      <c r="J10" s="375"/>
      <c r="K10" s="374"/>
      <c r="L10" s="375"/>
      <c r="M10" s="373"/>
      <c r="N10" s="376"/>
    </row>
    <row r="11" spans="1:16" ht="13.5" customHeight="1" x14ac:dyDescent="0.25">
      <c r="A11" s="278">
        <v>1</v>
      </c>
      <c r="B11" s="278" t="s">
        <v>1754</v>
      </c>
      <c r="C11" s="336" t="s">
        <v>1729</v>
      </c>
      <c r="D11" s="336"/>
      <c r="E11" s="336"/>
      <c r="F11" s="278" t="s">
        <v>360</v>
      </c>
      <c r="G11" s="278" t="s">
        <v>1736</v>
      </c>
      <c r="H11" s="278"/>
      <c r="I11" s="336" t="s">
        <v>390</v>
      </c>
      <c r="J11" s="336"/>
      <c r="K11" s="371" t="s">
        <v>1872</v>
      </c>
      <c r="L11" s="372"/>
      <c r="M11" s="336">
        <v>49.76</v>
      </c>
      <c r="N11" s="336"/>
    </row>
    <row r="12" spans="1:16" ht="13.5" customHeight="1" x14ac:dyDescent="0.25">
      <c r="A12" s="278">
        <v>1</v>
      </c>
      <c r="B12" s="278" t="s">
        <v>1755</v>
      </c>
      <c r="C12" s="336" t="s">
        <v>1729</v>
      </c>
      <c r="D12" s="336"/>
      <c r="E12" s="336"/>
      <c r="F12" s="287" t="s">
        <v>361</v>
      </c>
      <c r="G12" s="278" t="s">
        <v>1736</v>
      </c>
      <c r="H12" s="278"/>
      <c r="I12" s="336" t="s">
        <v>390</v>
      </c>
      <c r="J12" s="336"/>
      <c r="K12" s="371" t="s">
        <v>1871</v>
      </c>
      <c r="L12" s="372"/>
      <c r="M12" s="336">
        <v>76.7</v>
      </c>
      <c r="N12" s="336"/>
    </row>
    <row r="13" spans="1:16" ht="13.5" customHeight="1" x14ac:dyDescent="0.25">
      <c r="A13" s="348" t="s">
        <v>1786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336"/>
    </row>
    <row r="14" spans="1:16" ht="13.5" customHeight="1" x14ac:dyDescent="0.25">
      <c r="A14" s="278">
        <v>2</v>
      </c>
      <c r="B14" s="278" t="s">
        <v>1756</v>
      </c>
      <c r="C14" s="336" t="s">
        <v>1729</v>
      </c>
      <c r="D14" s="336"/>
      <c r="E14" s="336"/>
      <c r="F14" s="287" t="s">
        <v>360</v>
      </c>
      <c r="G14" s="278" t="s">
        <v>1736</v>
      </c>
      <c r="H14" s="278"/>
      <c r="I14" s="336" t="s">
        <v>390</v>
      </c>
      <c r="J14" s="336"/>
      <c r="K14" s="348" t="s">
        <v>1873</v>
      </c>
      <c r="L14" s="336"/>
      <c r="M14" s="336">
        <v>129.19999999999999</v>
      </c>
      <c r="N14" s="336"/>
    </row>
    <row r="15" spans="1:16" ht="13.5" customHeight="1" x14ac:dyDescent="0.25">
      <c r="A15" s="348" t="s">
        <v>1787</v>
      </c>
      <c r="B15" s="336"/>
      <c r="C15" s="336"/>
      <c r="D15" s="336"/>
      <c r="E15" s="336"/>
      <c r="F15" s="336"/>
      <c r="G15" s="336"/>
      <c r="H15" s="336"/>
      <c r="I15" s="336"/>
      <c r="J15" s="336"/>
      <c r="K15" s="336"/>
      <c r="L15" s="336"/>
      <c r="M15" s="336"/>
      <c r="N15" s="336"/>
    </row>
    <row r="16" spans="1:16" ht="13.5" customHeight="1" x14ac:dyDescent="0.25">
      <c r="A16" s="278">
        <v>1</v>
      </c>
      <c r="B16" s="278" t="s">
        <v>1757</v>
      </c>
      <c r="C16" s="336" t="s">
        <v>1729</v>
      </c>
      <c r="D16" s="336"/>
      <c r="E16" s="336"/>
      <c r="F16" s="278" t="s">
        <v>360</v>
      </c>
      <c r="G16" s="278" t="s">
        <v>1758</v>
      </c>
      <c r="H16" s="278"/>
      <c r="I16" s="336" t="s">
        <v>390</v>
      </c>
      <c r="J16" s="336"/>
      <c r="K16" s="348" t="s">
        <v>1871</v>
      </c>
      <c r="L16" s="336"/>
      <c r="M16" s="336">
        <v>64.599999999999994</v>
      </c>
      <c r="N16" s="336"/>
    </row>
    <row r="17" spans="1:14" ht="13.5" customHeight="1" x14ac:dyDescent="0.25">
      <c r="A17" s="348" t="s">
        <v>1788</v>
      </c>
      <c r="B17" s="336"/>
      <c r="C17" s="336"/>
      <c r="D17" s="336"/>
      <c r="E17" s="336"/>
      <c r="F17" s="336"/>
      <c r="G17" s="336"/>
      <c r="H17" s="336"/>
      <c r="I17" s="336"/>
      <c r="J17" s="336"/>
      <c r="K17" s="336"/>
      <c r="L17" s="336"/>
      <c r="M17" s="336"/>
      <c r="N17" s="336"/>
    </row>
    <row r="18" spans="1:14" ht="13.5" customHeight="1" x14ac:dyDescent="0.25">
      <c r="A18" s="278">
        <v>1</v>
      </c>
      <c r="B18" s="278" t="s">
        <v>1759</v>
      </c>
      <c r="C18" s="336" t="s">
        <v>1729</v>
      </c>
      <c r="D18" s="336"/>
      <c r="E18" s="336"/>
      <c r="F18" s="287" t="s">
        <v>360</v>
      </c>
      <c r="G18" s="278" t="s">
        <v>1731</v>
      </c>
      <c r="H18" s="278"/>
      <c r="I18" s="336" t="s">
        <v>390</v>
      </c>
      <c r="J18" s="336"/>
      <c r="K18" s="348" t="s">
        <v>1874</v>
      </c>
      <c r="L18" s="336"/>
      <c r="M18" s="336">
        <v>3.55</v>
      </c>
      <c r="N18" s="336"/>
    </row>
    <row r="19" spans="1:14" ht="13.5" customHeight="1" x14ac:dyDescent="0.25">
      <c r="A19" s="278">
        <v>1</v>
      </c>
      <c r="B19" s="278" t="s">
        <v>1760</v>
      </c>
      <c r="C19" s="336" t="s">
        <v>1729</v>
      </c>
      <c r="D19" s="336"/>
      <c r="E19" s="336"/>
      <c r="F19" s="287" t="s">
        <v>365</v>
      </c>
      <c r="G19" s="278" t="s">
        <v>1761</v>
      </c>
      <c r="H19" s="278"/>
      <c r="I19" s="336" t="s">
        <v>390</v>
      </c>
      <c r="J19" s="336"/>
      <c r="K19" s="348" t="s">
        <v>1875</v>
      </c>
      <c r="L19" s="336"/>
      <c r="M19" s="336">
        <v>119.36</v>
      </c>
      <c r="N19" s="336"/>
    </row>
    <row r="20" spans="1:14" s="256" customFormat="1" ht="13.5" customHeight="1" x14ac:dyDescent="0.25">
      <c r="A20" s="348" t="s">
        <v>1789</v>
      </c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</row>
    <row r="21" spans="1:14" ht="13.5" customHeight="1" x14ac:dyDescent="0.25">
      <c r="A21" s="278">
        <v>1</v>
      </c>
      <c r="B21" s="278" t="s">
        <v>1762</v>
      </c>
      <c r="C21" s="336" t="s">
        <v>1729</v>
      </c>
      <c r="D21" s="336"/>
      <c r="E21" s="336"/>
      <c r="F21" s="278" t="s">
        <v>365</v>
      </c>
      <c r="G21" s="278" t="s">
        <v>1763</v>
      </c>
      <c r="H21" s="278"/>
      <c r="I21" s="336" t="s">
        <v>390</v>
      </c>
      <c r="J21" s="336"/>
      <c r="K21" s="348" t="s">
        <v>1876</v>
      </c>
      <c r="L21" s="336"/>
      <c r="M21" s="336">
        <v>101.34</v>
      </c>
      <c r="N21" s="336"/>
    </row>
    <row r="22" spans="1:14" ht="13.5" customHeight="1" x14ac:dyDescent="0.25">
      <c r="A22" s="348" t="s">
        <v>1790</v>
      </c>
      <c r="B22" s="336"/>
      <c r="C22" s="336"/>
      <c r="D22" s="336"/>
      <c r="E22" s="336"/>
      <c r="F22" s="336"/>
      <c r="G22" s="336"/>
      <c r="H22" s="336"/>
      <c r="I22" s="336"/>
      <c r="J22" s="336"/>
      <c r="K22" s="336"/>
      <c r="L22" s="336"/>
      <c r="M22" s="336"/>
      <c r="N22" s="336"/>
    </row>
    <row r="23" spans="1:14" ht="13.5" customHeight="1" x14ac:dyDescent="0.25">
      <c r="A23" s="278">
        <v>1</v>
      </c>
      <c r="B23" s="278" t="s">
        <v>1764</v>
      </c>
      <c r="C23" s="336" t="s">
        <v>1729</v>
      </c>
      <c r="D23" s="336"/>
      <c r="E23" s="336"/>
      <c r="F23" s="278" t="s">
        <v>362</v>
      </c>
      <c r="G23" s="278" t="s">
        <v>1736</v>
      </c>
      <c r="H23" s="278"/>
      <c r="I23" s="336" t="s">
        <v>390</v>
      </c>
      <c r="J23" s="336"/>
      <c r="K23" s="348" t="s">
        <v>1850</v>
      </c>
      <c r="L23" s="336"/>
      <c r="M23" s="336">
        <v>151.19999999999999</v>
      </c>
      <c r="N23" s="336"/>
    </row>
    <row r="24" spans="1:14" ht="13.5" customHeight="1" x14ac:dyDescent="0.25">
      <c r="A24" s="348" t="s">
        <v>1791</v>
      </c>
      <c r="B24" s="336"/>
      <c r="C24" s="336"/>
      <c r="D24" s="336"/>
      <c r="E24" s="336"/>
      <c r="F24" s="336"/>
      <c r="G24" s="336"/>
      <c r="H24" s="336"/>
      <c r="I24" s="336"/>
      <c r="J24" s="336"/>
      <c r="K24" s="336"/>
      <c r="L24" s="336"/>
      <c r="M24" s="336"/>
      <c r="N24" s="336"/>
    </row>
    <row r="25" spans="1:14" ht="13.5" customHeight="1" x14ac:dyDescent="0.25">
      <c r="A25" s="278">
        <v>2</v>
      </c>
      <c r="B25" s="278" t="s">
        <v>1765</v>
      </c>
      <c r="C25" s="336" t="s">
        <v>1729</v>
      </c>
      <c r="D25" s="336"/>
      <c r="E25" s="336"/>
      <c r="F25" s="278" t="s">
        <v>361</v>
      </c>
      <c r="G25" s="278" t="s">
        <v>1736</v>
      </c>
      <c r="H25" s="278"/>
      <c r="I25" s="336" t="s">
        <v>390</v>
      </c>
      <c r="J25" s="336"/>
      <c r="K25" s="348" t="s">
        <v>1850</v>
      </c>
      <c r="L25" s="336"/>
      <c r="M25" s="336">
        <v>203.14</v>
      </c>
      <c r="N25" s="336"/>
    </row>
    <row r="26" spans="1:14" ht="13.5" customHeight="1" x14ac:dyDescent="0.25">
      <c r="A26" s="278">
        <v>1</v>
      </c>
      <c r="B26" s="278" t="s">
        <v>1766</v>
      </c>
      <c r="C26" s="336" t="s">
        <v>1729</v>
      </c>
      <c r="D26" s="336"/>
      <c r="E26" s="336"/>
      <c r="F26" s="287" t="s">
        <v>365</v>
      </c>
      <c r="G26" s="278" t="s">
        <v>1736</v>
      </c>
      <c r="H26" s="278"/>
      <c r="I26" s="336" t="s">
        <v>390</v>
      </c>
      <c r="J26" s="336"/>
      <c r="K26" s="348" t="s">
        <v>1850</v>
      </c>
      <c r="L26" s="336"/>
      <c r="M26" s="336">
        <v>173.03</v>
      </c>
      <c r="N26" s="336"/>
    </row>
    <row r="27" spans="1:14" ht="13.5" customHeight="1" x14ac:dyDescent="0.25">
      <c r="A27" s="278">
        <v>2</v>
      </c>
      <c r="B27" s="278" t="s">
        <v>1767</v>
      </c>
      <c r="C27" s="336" t="s">
        <v>1729</v>
      </c>
      <c r="D27" s="336"/>
      <c r="E27" s="336"/>
      <c r="F27" s="278" t="s">
        <v>362</v>
      </c>
      <c r="G27" s="278" t="s">
        <v>1736</v>
      </c>
      <c r="H27" s="278"/>
      <c r="I27" s="336" t="s">
        <v>390</v>
      </c>
      <c r="J27" s="336"/>
      <c r="K27" s="336" t="s">
        <v>1746</v>
      </c>
      <c r="L27" s="336"/>
      <c r="M27" s="336">
        <v>295.82</v>
      </c>
      <c r="N27" s="336"/>
    </row>
    <row r="28" spans="1:14" ht="13.5" customHeight="1" x14ac:dyDescent="0.25">
      <c r="A28" s="278">
        <v>1</v>
      </c>
      <c r="B28" s="278" t="s">
        <v>1768</v>
      </c>
      <c r="C28" s="336" t="s">
        <v>1729</v>
      </c>
      <c r="D28" s="336"/>
      <c r="E28" s="336"/>
      <c r="F28" s="278" t="s">
        <v>365</v>
      </c>
      <c r="G28" s="278" t="s">
        <v>1736</v>
      </c>
      <c r="H28" s="278"/>
      <c r="I28" s="336" t="s">
        <v>390</v>
      </c>
      <c r="J28" s="336"/>
      <c r="K28" s="348" t="s">
        <v>1869</v>
      </c>
      <c r="L28" s="336"/>
      <c r="M28" s="336">
        <v>169.27</v>
      </c>
      <c r="N28" s="336"/>
    </row>
    <row r="29" spans="1:14" ht="13.5" customHeight="1" x14ac:dyDescent="0.25">
      <c r="A29" s="278">
        <v>2</v>
      </c>
      <c r="B29" s="278" t="s">
        <v>1769</v>
      </c>
      <c r="C29" s="336" t="s">
        <v>1770</v>
      </c>
      <c r="D29" s="336"/>
      <c r="E29" s="336"/>
      <c r="F29" s="287" t="s">
        <v>371</v>
      </c>
      <c r="G29" s="278" t="s">
        <v>1731</v>
      </c>
      <c r="H29" s="278"/>
      <c r="I29" s="336" t="s">
        <v>390</v>
      </c>
      <c r="J29" s="336"/>
      <c r="K29" s="348" t="s">
        <v>1877</v>
      </c>
      <c r="L29" s="336"/>
      <c r="M29" s="336">
        <v>255.82</v>
      </c>
      <c r="N29" s="336"/>
    </row>
    <row r="30" spans="1:14" ht="13.5" customHeight="1" x14ac:dyDescent="0.25">
      <c r="A30" s="278">
        <v>5</v>
      </c>
      <c r="B30" s="278" t="s">
        <v>1771</v>
      </c>
      <c r="C30" s="336" t="s">
        <v>1770</v>
      </c>
      <c r="D30" s="336"/>
      <c r="E30" s="336"/>
      <c r="F30" s="278" t="s">
        <v>372</v>
      </c>
      <c r="G30" s="278" t="s">
        <v>1736</v>
      </c>
      <c r="H30" s="278"/>
      <c r="I30" s="336" t="s">
        <v>390</v>
      </c>
      <c r="J30" s="336"/>
      <c r="K30" s="348" t="s">
        <v>1850</v>
      </c>
      <c r="L30" s="336"/>
      <c r="M30" s="336">
        <v>1083.45</v>
      </c>
      <c r="N30" s="336"/>
    </row>
    <row r="31" spans="1:14" ht="13.5" customHeight="1" x14ac:dyDescent="0.25">
      <c r="A31" s="348" t="s">
        <v>1844</v>
      </c>
      <c r="B31" s="336"/>
      <c r="C31" s="336"/>
      <c r="D31" s="336"/>
      <c r="E31" s="336"/>
      <c r="F31" s="336"/>
      <c r="G31" s="336"/>
      <c r="H31" s="336"/>
      <c r="I31" s="336"/>
      <c r="J31" s="336"/>
      <c r="K31" s="336"/>
      <c r="L31" s="336"/>
      <c r="M31" s="336"/>
      <c r="N31" s="336"/>
    </row>
    <row r="32" spans="1:14" ht="13.5" customHeight="1" x14ac:dyDescent="0.25">
      <c r="A32" s="278">
        <v>5</v>
      </c>
      <c r="B32" s="298" t="s">
        <v>1772</v>
      </c>
      <c r="C32" s="336" t="s">
        <v>1770</v>
      </c>
      <c r="D32" s="336"/>
      <c r="E32" s="336"/>
      <c r="F32" s="278" t="s">
        <v>372</v>
      </c>
      <c r="G32" s="284" t="s">
        <v>1736</v>
      </c>
      <c r="H32" s="278"/>
      <c r="I32" s="336" t="s">
        <v>390</v>
      </c>
      <c r="J32" s="336"/>
      <c r="K32" s="348" t="s">
        <v>1850</v>
      </c>
      <c r="L32" s="336"/>
      <c r="M32" s="336">
        <v>1083.45</v>
      </c>
      <c r="N32" s="336"/>
    </row>
    <row r="33" spans="1:16" customFormat="1" ht="14.55" customHeight="1" x14ac:dyDescent="0.25">
      <c r="A33" s="348" t="s">
        <v>1879</v>
      </c>
      <c r="B33" s="336"/>
      <c r="C33" s="336"/>
      <c r="D33" s="336"/>
      <c r="E33" s="336"/>
      <c r="F33" s="336"/>
      <c r="G33" s="336"/>
      <c r="H33" s="336"/>
      <c r="I33" s="336"/>
      <c r="J33" s="336"/>
      <c r="K33" s="336"/>
      <c r="L33" s="336"/>
      <c r="M33" s="336"/>
      <c r="N33" s="336"/>
      <c r="P33" s="299"/>
    </row>
    <row r="34" spans="1:16" customFormat="1" ht="14.55" customHeight="1" x14ac:dyDescent="0.25">
      <c r="A34" s="278">
        <v>5</v>
      </c>
      <c r="B34" s="278" t="s">
        <v>1773</v>
      </c>
      <c r="C34" s="336" t="s">
        <v>1770</v>
      </c>
      <c r="D34" s="336"/>
      <c r="E34" s="336"/>
      <c r="F34" s="278" t="s">
        <v>372</v>
      </c>
      <c r="G34" s="278" t="s">
        <v>1753</v>
      </c>
      <c r="H34" s="278"/>
      <c r="I34" s="336" t="s">
        <v>390</v>
      </c>
      <c r="J34" s="336"/>
      <c r="K34" s="348" t="s">
        <v>1850</v>
      </c>
      <c r="L34" s="336"/>
      <c r="M34" s="336">
        <v>1083.45</v>
      </c>
      <c r="N34" s="336"/>
    </row>
    <row r="35" spans="1:16" customFormat="1" ht="14.55" customHeight="1" x14ac:dyDescent="0.25">
      <c r="A35" s="348" t="s">
        <v>1851</v>
      </c>
      <c r="B35" s="336"/>
      <c r="C35" s="336"/>
      <c r="D35" s="336"/>
      <c r="E35" s="336"/>
      <c r="F35" s="336"/>
      <c r="G35" s="336"/>
      <c r="H35" s="336"/>
      <c r="I35" s="336"/>
      <c r="J35" s="336"/>
      <c r="K35" s="336"/>
      <c r="L35" s="336"/>
      <c r="M35" s="336"/>
      <c r="N35" s="336"/>
    </row>
    <row r="37" spans="1:16" x14ac:dyDescent="0.25">
      <c r="I37" s="260"/>
      <c r="J37" s="260"/>
      <c r="K37" s="369" t="s">
        <v>263</v>
      </c>
      <c r="L37" s="369"/>
      <c r="M37" s="368">
        <f>SUM(M11:M35)</f>
        <v>5043.1399999999994</v>
      </c>
      <c r="N37" s="368"/>
    </row>
  </sheetData>
  <sheetProtection formatCells="0" formatRows="0" insertRows="0" deleteRows="0"/>
  <mergeCells count="107">
    <mergeCell ref="C29:E29"/>
    <mergeCell ref="I29:J29"/>
    <mergeCell ref="K29:L29"/>
    <mergeCell ref="M29:N29"/>
    <mergeCell ref="A35:N35"/>
    <mergeCell ref="I19:J19"/>
    <mergeCell ref="K19:L19"/>
    <mergeCell ref="M19:N19"/>
    <mergeCell ref="A20:N20"/>
    <mergeCell ref="C26:E26"/>
    <mergeCell ref="K26:L26"/>
    <mergeCell ref="M26:N26"/>
    <mergeCell ref="A13:N13"/>
    <mergeCell ref="C14:E14"/>
    <mergeCell ref="I14:J14"/>
    <mergeCell ref="K14:L14"/>
    <mergeCell ref="M14:N14"/>
    <mergeCell ref="A15:N15"/>
    <mergeCell ref="C25:E25"/>
    <mergeCell ref="A24:N24"/>
    <mergeCell ref="C34:E34"/>
    <mergeCell ref="I34:J34"/>
    <mergeCell ref="K34:L34"/>
    <mergeCell ref="M34:N34"/>
    <mergeCell ref="M30:N30"/>
    <mergeCell ref="A31:N31"/>
    <mergeCell ref="C32:E32"/>
    <mergeCell ref="I32:J32"/>
    <mergeCell ref="K32:L32"/>
    <mergeCell ref="A33:N33"/>
    <mergeCell ref="C27:E27"/>
    <mergeCell ref="I27:J27"/>
    <mergeCell ref="K27:L27"/>
    <mergeCell ref="M27:N27"/>
    <mergeCell ref="C28:E28"/>
    <mergeCell ref="I28:J28"/>
    <mergeCell ref="K28:L28"/>
    <mergeCell ref="M28:N28"/>
    <mergeCell ref="A17:N17"/>
    <mergeCell ref="C21:E21"/>
    <mergeCell ref="I21:J21"/>
    <mergeCell ref="K21:L21"/>
    <mergeCell ref="M21:N21"/>
    <mergeCell ref="C18:E18"/>
    <mergeCell ref="I18:J18"/>
    <mergeCell ref="K18:L18"/>
    <mergeCell ref="M18:N18"/>
    <mergeCell ref="C16:E16"/>
    <mergeCell ref="I16:J16"/>
    <mergeCell ref="K16:L16"/>
    <mergeCell ref="M16:N16"/>
    <mergeCell ref="C12:E12"/>
    <mergeCell ref="I12:J12"/>
    <mergeCell ref="K12:L12"/>
    <mergeCell ref="M12:N12"/>
    <mergeCell ref="I25:J25"/>
    <mergeCell ref="K25:L25"/>
    <mergeCell ref="M25:N25"/>
    <mergeCell ref="K37:L37"/>
    <mergeCell ref="M37:N37"/>
    <mergeCell ref="C30:E30"/>
    <mergeCell ref="I30:J30"/>
    <mergeCell ref="K30:L30"/>
    <mergeCell ref="M32:N32"/>
    <mergeCell ref="I26:J26"/>
    <mergeCell ref="I23:J23"/>
    <mergeCell ref="K23:L23"/>
    <mergeCell ref="A22:N22"/>
    <mergeCell ref="C23:E23"/>
    <mergeCell ref="M23:N23"/>
    <mergeCell ref="C19:E19"/>
    <mergeCell ref="C10:E10"/>
    <mergeCell ref="I10:J10"/>
    <mergeCell ref="K10:L10"/>
    <mergeCell ref="M10:N10"/>
    <mergeCell ref="C11:E11"/>
    <mergeCell ref="I11:J11"/>
    <mergeCell ref="K11:L11"/>
    <mergeCell ref="M11:N11"/>
    <mergeCell ref="A7:B7"/>
    <mergeCell ref="C7:N7"/>
    <mergeCell ref="A8:N8"/>
    <mergeCell ref="C9:E9"/>
    <mergeCell ref="I9:J9"/>
    <mergeCell ref="K9:L9"/>
    <mergeCell ref="M9:N9"/>
    <mergeCell ref="G5:H5"/>
    <mergeCell ref="I5:J5"/>
    <mergeCell ref="K5:L5"/>
    <mergeCell ref="M5:N5"/>
    <mergeCell ref="G6:H6"/>
    <mergeCell ref="I6:N6"/>
    <mergeCell ref="M2:N2"/>
    <mergeCell ref="G3:H3"/>
    <mergeCell ref="I3:J3"/>
    <mergeCell ref="K3:L3"/>
    <mergeCell ref="M3:N3"/>
    <mergeCell ref="G4:H4"/>
    <mergeCell ref="I4:J4"/>
    <mergeCell ref="K4:L4"/>
    <mergeCell ref="M4:N4"/>
    <mergeCell ref="G1:H1"/>
    <mergeCell ref="I1:J1"/>
    <mergeCell ref="K1:L1"/>
    <mergeCell ref="G2:H2"/>
    <mergeCell ref="I2:J2"/>
    <mergeCell ref="K2:L2"/>
  </mergeCells>
  <phoneticPr fontId="22" type="noConversion"/>
  <dataValidations count="3">
    <dataValidation errorStyle="warning" allowBlank="1" showInputMessage="1" showErrorMessage="1" errorTitle="Unlisted" error="You have entered an unlisted item.  Please make sure the item entered is correct." sqref="H18 H25 H11 H13 H15:H16 H20:H21 H23 H27:H28 H30 H32:H35" xr:uid="{77F12794-F94A-4A9C-BDB6-4A8597148C62}"/>
    <dataValidation type="list" errorStyle="warning" allowBlank="1" showInputMessage="1" showErrorMessage="1" errorTitle="Unlisted" error="You have entered an unlisted item.  Please make sure the item entered is correct." sqref="F32:F35 F23 F11:F16 F25:F30 F18:F21" xr:uid="{2995CC16-2F17-43C3-BEFF-9FF10576BCFA}">
      <formula1>Zees</formula1>
    </dataValidation>
    <dataValidation type="list" errorStyle="warning" allowBlank="1" showInputMessage="1" showErrorMessage="1" errorTitle="Unlisted" error="You have entered an unlisted item.  Please make sure the item entered is correct." sqref="I18 I25 I11 I13 I15:I16 I20:I21 I23 I27:I28 I30 I32:I35" xr:uid="{EA375C16-4CA0-41C8-8444-9CBB0DFF6DBD}">
      <formula1>Coatings</formula1>
    </dataValidation>
  </dataValidations>
  <pageMargins left="0.25" right="0.25" top="0.25" bottom="0.25" header="0.5" footer="0.5"/>
  <pageSetup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4E49-DEC5-4CE6-B2A7-BBD2A551B5CD}">
  <sheetPr codeName="Sheet98"/>
  <dimension ref="A1:P17"/>
  <sheetViews>
    <sheetView workbookViewId="0">
      <selection activeCell="F15" sqref="F15"/>
    </sheetView>
  </sheetViews>
  <sheetFormatPr defaultColWidth="9.21875" defaultRowHeight="13.2" x14ac:dyDescent="0.25"/>
  <cols>
    <col min="1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48"/>
      <c r="F1" s="247"/>
      <c r="G1" s="352"/>
      <c r="H1" s="353"/>
      <c r="I1" s="353" t="s">
        <v>1351</v>
      </c>
      <c r="J1" s="353"/>
      <c r="K1" s="354">
        <v>5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42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42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42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42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38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42" t="s">
        <v>1276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43"/>
      <c r="O8" s="236"/>
      <c r="P8" s="236"/>
    </row>
    <row r="9" spans="1:16" ht="22.5" customHeight="1" thickBot="1" x14ac:dyDescent="0.3">
      <c r="A9" s="264" t="s">
        <v>238</v>
      </c>
      <c r="B9" s="264" t="s">
        <v>239</v>
      </c>
      <c r="C9" s="361" t="s">
        <v>240</v>
      </c>
      <c r="D9" s="362"/>
      <c r="E9" s="363"/>
      <c r="F9" s="266" t="s">
        <v>272</v>
      </c>
      <c r="G9" s="265" t="s">
        <v>264</v>
      </c>
      <c r="H9" s="193" t="s">
        <v>271</v>
      </c>
      <c r="I9" s="351" t="s">
        <v>242</v>
      </c>
      <c r="J9" s="341"/>
      <c r="K9" s="361" t="s">
        <v>241</v>
      </c>
      <c r="L9" s="363"/>
      <c r="M9" s="361" t="s">
        <v>327</v>
      </c>
      <c r="N9" s="363"/>
    </row>
    <row r="10" spans="1:16" ht="13.5" customHeight="1" x14ac:dyDescent="0.25">
      <c r="A10" s="261"/>
      <c r="B10" s="268"/>
      <c r="C10" s="364"/>
      <c r="D10" s="364"/>
      <c r="E10" s="364"/>
      <c r="F10" s="269"/>
      <c r="G10" s="268"/>
      <c r="H10" s="262"/>
      <c r="I10" s="366"/>
      <c r="J10" s="367"/>
      <c r="K10" s="366"/>
      <c r="L10" s="367"/>
      <c r="M10" s="364"/>
      <c r="N10" s="365"/>
    </row>
    <row r="11" spans="1:16" ht="13.5" customHeight="1" x14ac:dyDescent="0.25">
      <c r="A11" s="278">
        <v>5</v>
      </c>
      <c r="B11" s="278" t="s">
        <v>1774</v>
      </c>
      <c r="C11" s="336" t="s">
        <v>1770</v>
      </c>
      <c r="D11" s="336"/>
      <c r="E11" s="336"/>
      <c r="F11" s="278" t="s">
        <v>372</v>
      </c>
      <c r="G11" s="284" t="s">
        <v>1758</v>
      </c>
      <c r="H11" s="278"/>
      <c r="I11" s="336" t="s">
        <v>390</v>
      </c>
      <c r="J11" s="336"/>
      <c r="K11" s="348" t="s">
        <v>1850</v>
      </c>
      <c r="L11" s="336"/>
      <c r="M11" s="336">
        <v>1083.45</v>
      </c>
      <c r="N11" s="336"/>
    </row>
    <row r="12" spans="1:16" ht="13.5" customHeight="1" x14ac:dyDescent="0.25">
      <c r="A12" s="348" t="s">
        <v>1867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336"/>
    </row>
    <row r="13" spans="1:16" ht="13.5" customHeight="1" x14ac:dyDescent="0.25">
      <c r="A13" s="278">
        <v>1</v>
      </c>
      <c r="B13" s="278" t="s">
        <v>1775</v>
      </c>
      <c r="C13" s="336" t="s">
        <v>1770</v>
      </c>
      <c r="D13" s="336"/>
      <c r="E13" s="336"/>
      <c r="F13" s="278" t="s">
        <v>362</v>
      </c>
      <c r="G13" s="278"/>
      <c r="H13" s="278"/>
      <c r="I13" s="336" t="s">
        <v>390</v>
      </c>
      <c r="J13" s="336"/>
      <c r="K13" s="348" t="s">
        <v>1878</v>
      </c>
      <c r="L13" s="336"/>
      <c r="M13" s="336">
        <v>197.49</v>
      </c>
      <c r="N13" s="336"/>
    </row>
    <row r="14" spans="1:16" ht="13.5" customHeight="1" x14ac:dyDescent="0.25">
      <c r="A14" s="278">
        <v>1</v>
      </c>
      <c r="B14" s="278" t="s">
        <v>1776</v>
      </c>
      <c r="C14" s="336" t="s">
        <v>1770</v>
      </c>
      <c r="D14" s="336"/>
      <c r="E14" s="336"/>
      <c r="F14" s="278" t="s">
        <v>372</v>
      </c>
      <c r="G14" s="278"/>
      <c r="H14" s="278"/>
      <c r="I14" s="336" t="s">
        <v>390</v>
      </c>
      <c r="J14" s="336"/>
      <c r="K14" s="348" t="s">
        <v>1850</v>
      </c>
      <c r="L14" s="336"/>
      <c r="M14" s="336">
        <v>216.69</v>
      </c>
      <c r="N14" s="336"/>
    </row>
    <row r="15" spans="1:16" ht="13.5" customHeight="1" x14ac:dyDescent="0.25">
      <c r="A15" s="278">
        <v>1</v>
      </c>
      <c r="B15" s="278" t="s">
        <v>1777</v>
      </c>
      <c r="C15" s="336" t="s">
        <v>1770</v>
      </c>
      <c r="D15" s="336"/>
      <c r="E15" s="336"/>
      <c r="F15" s="278" t="s">
        <v>365</v>
      </c>
      <c r="G15" s="278"/>
      <c r="H15" s="278"/>
      <c r="I15" s="336" t="s">
        <v>390</v>
      </c>
      <c r="J15" s="336"/>
      <c r="K15" s="348" t="s">
        <v>1850</v>
      </c>
      <c r="L15" s="336"/>
      <c r="M15" s="336">
        <v>173.03</v>
      </c>
      <c r="N15" s="336"/>
    </row>
    <row r="17" spans="9:14" x14ac:dyDescent="0.25">
      <c r="I17" s="260"/>
      <c r="J17" s="260"/>
      <c r="K17" s="369" t="s">
        <v>263</v>
      </c>
      <c r="L17" s="369"/>
      <c r="M17" s="368">
        <f>SUM(M11:N15)</f>
        <v>1670.66</v>
      </c>
      <c r="N17" s="368"/>
    </row>
  </sheetData>
  <sheetProtection formatCells="0" formatRows="0" insertRows="0" deleteRows="0"/>
  <mergeCells count="51">
    <mergeCell ref="C15:E15"/>
    <mergeCell ref="I15:J15"/>
    <mergeCell ref="K15:L15"/>
    <mergeCell ref="M15:N15"/>
    <mergeCell ref="K17:L17"/>
    <mergeCell ref="M17:N17"/>
    <mergeCell ref="K14:L14"/>
    <mergeCell ref="M14:N14"/>
    <mergeCell ref="C11:E11"/>
    <mergeCell ref="I11:J11"/>
    <mergeCell ref="K11:L11"/>
    <mergeCell ref="M11:N11"/>
    <mergeCell ref="C14:E14"/>
    <mergeCell ref="I14:J14"/>
    <mergeCell ref="C10:E10"/>
    <mergeCell ref="I10:J10"/>
    <mergeCell ref="K10:L10"/>
    <mergeCell ref="M10:N10"/>
    <mergeCell ref="C13:E13"/>
    <mergeCell ref="I13:J13"/>
    <mergeCell ref="K13:L13"/>
    <mergeCell ref="M13:N13"/>
    <mergeCell ref="A12:N12"/>
    <mergeCell ref="A7:B7"/>
    <mergeCell ref="C7:N7"/>
    <mergeCell ref="A8:N8"/>
    <mergeCell ref="C9:E9"/>
    <mergeCell ref="I9:J9"/>
    <mergeCell ref="K9:L9"/>
    <mergeCell ref="M9:N9"/>
    <mergeCell ref="G5:H5"/>
    <mergeCell ref="I5:J5"/>
    <mergeCell ref="K5:L5"/>
    <mergeCell ref="M5:N5"/>
    <mergeCell ref="G6:H6"/>
    <mergeCell ref="I6:N6"/>
    <mergeCell ref="M2:N2"/>
    <mergeCell ref="G3:H3"/>
    <mergeCell ref="I3:J3"/>
    <mergeCell ref="K3:L3"/>
    <mergeCell ref="M3:N3"/>
    <mergeCell ref="G4:H4"/>
    <mergeCell ref="I4:J4"/>
    <mergeCell ref="K4:L4"/>
    <mergeCell ref="M4:N4"/>
    <mergeCell ref="G1:H1"/>
    <mergeCell ref="I1:J1"/>
    <mergeCell ref="K1:L1"/>
    <mergeCell ref="G2:H2"/>
    <mergeCell ref="I2:J2"/>
    <mergeCell ref="K2:L2"/>
  </mergeCells>
  <phoneticPr fontId="22" type="noConversion"/>
  <dataValidations count="3">
    <dataValidation errorStyle="warning" allowBlank="1" showInputMessage="1" showErrorMessage="1" errorTitle="Unlisted" error="You have entered an unlisted item.  Please make sure the item entered is correct." sqref="H11 H13:H14" xr:uid="{227A3FA8-983F-488F-BC8D-87C5CB88A871}"/>
    <dataValidation type="list" errorStyle="warning" allowBlank="1" showInputMessage="1" showErrorMessage="1" errorTitle="Unlisted" error="You have entered an unlisted item.  Please make sure the item entered is correct." sqref="F11 F13:F14" xr:uid="{8CD0822B-3131-469E-9ECE-A71DBC07003F}">
      <formula1>Zees</formula1>
    </dataValidation>
    <dataValidation type="list" errorStyle="warning" allowBlank="1" showInputMessage="1" showErrorMessage="1" errorTitle="Unlisted" error="You have entered an unlisted item.  Please make sure the item entered is correct." sqref="I11 I13:I14" xr:uid="{71D9420A-A3C2-4781-9973-6014F1B17EEE}">
      <formula1>Coatings</formula1>
    </dataValidation>
  </dataValidations>
  <pageMargins left="0.25" right="0.25" top="0.25" bottom="0.25" header="0.5" footer="0.5"/>
  <pageSetup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9905-52CF-43C3-9EB9-931CDAB3D171}">
  <sheetPr codeName="Sheet42"/>
  <dimension ref="A1:P27"/>
  <sheetViews>
    <sheetView topLeftCell="A4" workbookViewId="0">
      <selection activeCell="Q18" sqref="Q18"/>
    </sheetView>
  </sheetViews>
  <sheetFormatPr defaultColWidth="9.21875" defaultRowHeight="13.2" x14ac:dyDescent="0.25"/>
  <cols>
    <col min="1" max="1" width="8.5546875" style="244" customWidth="1"/>
    <col min="2" max="2" width="11.77734375" style="244" customWidth="1"/>
    <col min="3" max="4" width="9.77734375" style="244" customWidth="1"/>
    <col min="5" max="5" width="10.77734375" style="244" customWidth="1"/>
    <col min="6" max="6" width="11.77734375" style="244" customWidth="1"/>
    <col min="7" max="9" width="9.77734375" style="244" customWidth="1"/>
    <col min="10" max="12" width="8.77734375" style="244" customWidth="1"/>
    <col min="13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48"/>
      <c r="F1" s="247"/>
      <c r="G1" s="352"/>
      <c r="H1" s="353"/>
      <c r="I1" s="353" t="s">
        <v>1351</v>
      </c>
      <c r="J1" s="353"/>
      <c r="K1" s="354">
        <v>6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42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42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42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42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38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80" t="s">
        <v>342</v>
      </c>
      <c r="B8" s="381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236"/>
      <c r="P8" s="236"/>
    </row>
    <row r="9" spans="1:16" ht="22.5" customHeight="1" x14ac:dyDescent="0.25">
      <c r="A9" s="295" t="s">
        <v>238</v>
      </c>
      <c r="B9" s="296" t="s">
        <v>239</v>
      </c>
      <c r="C9" s="379" t="s">
        <v>240</v>
      </c>
      <c r="D9" s="379"/>
      <c r="E9" s="379"/>
      <c r="F9" s="296" t="s">
        <v>272</v>
      </c>
      <c r="G9" s="296" t="s">
        <v>271</v>
      </c>
      <c r="H9" s="379" t="s">
        <v>242</v>
      </c>
      <c r="I9" s="379"/>
      <c r="J9" s="379" t="s">
        <v>241</v>
      </c>
      <c r="K9" s="379"/>
      <c r="L9" s="379"/>
      <c r="M9" s="379" t="s">
        <v>327</v>
      </c>
      <c r="N9" s="383"/>
    </row>
    <row r="10" spans="1:16" ht="13.5" customHeight="1" x14ac:dyDescent="0.25">
      <c r="A10" s="297"/>
      <c r="B10" s="288"/>
      <c r="C10" s="384"/>
      <c r="D10" s="384"/>
      <c r="E10" s="384"/>
      <c r="F10" s="294"/>
      <c r="G10" s="288"/>
      <c r="H10" s="384"/>
      <c r="I10" s="384"/>
      <c r="J10" s="384"/>
      <c r="K10" s="384"/>
      <c r="L10" s="384"/>
      <c r="M10" s="384"/>
      <c r="N10" s="385"/>
    </row>
    <row r="11" spans="1:16" ht="13.5" customHeight="1" x14ac:dyDescent="0.25">
      <c r="A11" s="289">
        <v>1</v>
      </c>
      <c r="B11" s="285" t="s">
        <v>1857</v>
      </c>
      <c r="C11" s="384" t="s">
        <v>685</v>
      </c>
      <c r="D11" s="377" t="s">
        <v>253</v>
      </c>
      <c r="E11" s="377" t="s">
        <v>253</v>
      </c>
      <c r="F11" s="285" t="s">
        <v>373</v>
      </c>
      <c r="G11" s="288" t="s">
        <v>159</v>
      </c>
      <c r="H11" s="377" t="s">
        <v>390</v>
      </c>
      <c r="I11" s="377" t="s">
        <v>253</v>
      </c>
      <c r="J11" s="377" t="s">
        <v>1719</v>
      </c>
      <c r="K11" s="377" t="s">
        <v>253</v>
      </c>
      <c r="L11" s="377" t="s">
        <v>253</v>
      </c>
      <c r="M11" s="336">
        <f>27.95*2*A11</f>
        <v>55.9</v>
      </c>
      <c r="N11" s="390"/>
    </row>
    <row r="12" spans="1:16" ht="13.5" customHeight="1" x14ac:dyDescent="0.25">
      <c r="A12" s="289">
        <v>1</v>
      </c>
      <c r="B12" s="285" t="s">
        <v>1858</v>
      </c>
      <c r="C12" s="384" t="s">
        <v>685</v>
      </c>
      <c r="D12" s="377" t="s">
        <v>253</v>
      </c>
      <c r="E12" s="377" t="s">
        <v>253</v>
      </c>
      <c r="F12" s="285" t="s">
        <v>373</v>
      </c>
      <c r="G12" s="288" t="s">
        <v>159</v>
      </c>
      <c r="H12" s="377" t="s">
        <v>390</v>
      </c>
      <c r="I12" s="377" t="s">
        <v>253</v>
      </c>
      <c r="J12" s="377" t="s">
        <v>1719</v>
      </c>
      <c r="K12" s="377" t="s">
        <v>253</v>
      </c>
      <c r="L12" s="377" t="s">
        <v>253</v>
      </c>
      <c r="M12" s="336">
        <f t="shared" ref="M12:M19" si="0">27.95*2*A12</f>
        <v>55.9</v>
      </c>
      <c r="N12" s="390"/>
    </row>
    <row r="13" spans="1:16" ht="13.5" customHeight="1" x14ac:dyDescent="0.25">
      <c r="A13" s="289">
        <v>1</v>
      </c>
      <c r="B13" s="285" t="s">
        <v>1859</v>
      </c>
      <c r="C13" s="384" t="s">
        <v>685</v>
      </c>
      <c r="D13" s="377" t="s">
        <v>253</v>
      </c>
      <c r="E13" s="377" t="s">
        <v>253</v>
      </c>
      <c r="F13" s="285" t="s">
        <v>373</v>
      </c>
      <c r="G13" s="288" t="s">
        <v>159</v>
      </c>
      <c r="H13" s="377" t="s">
        <v>390</v>
      </c>
      <c r="I13" s="377" t="s">
        <v>253</v>
      </c>
      <c r="J13" s="377" t="s">
        <v>1719</v>
      </c>
      <c r="K13" s="377" t="s">
        <v>253</v>
      </c>
      <c r="L13" s="377" t="s">
        <v>253</v>
      </c>
      <c r="M13" s="336">
        <f t="shared" si="0"/>
        <v>55.9</v>
      </c>
      <c r="N13" s="390"/>
    </row>
    <row r="14" spans="1:16" ht="13.5" customHeight="1" x14ac:dyDescent="0.25">
      <c r="A14" s="289">
        <v>1</v>
      </c>
      <c r="B14" s="285" t="s">
        <v>1860</v>
      </c>
      <c r="C14" s="384" t="s">
        <v>685</v>
      </c>
      <c r="D14" s="377" t="s">
        <v>253</v>
      </c>
      <c r="E14" s="377" t="s">
        <v>253</v>
      </c>
      <c r="F14" s="285" t="s">
        <v>373</v>
      </c>
      <c r="G14" s="288" t="s">
        <v>159</v>
      </c>
      <c r="H14" s="377" t="s">
        <v>390</v>
      </c>
      <c r="I14" s="377" t="s">
        <v>253</v>
      </c>
      <c r="J14" s="377" t="s">
        <v>1719</v>
      </c>
      <c r="K14" s="377" t="s">
        <v>253</v>
      </c>
      <c r="L14" s="377" t="s">
        <v>253</v>
      </c>
      <c r="M14" s="336">
        <f t="shared" si="0"/>
        <v>55.9</v>
      </c>
      <c r="N14" s="390"/>
    </row>
    <row r="15" spans="1:16" ht="13.5" customHeight="1" x14ac:dyDescent="0.25">
      <c r="A15" s="289">
        <v>1</v>
      </c>
      <c r="B15" s="285" t="s">
        <v>1861</v>
      </c>
      <c r="C15" s="384" t="s">
        <v>685</v>
      </c>
      <c r="D15" s="377" t="s">
        <v>253</v>
      </c>
      <c r="E15" s="377" t="s">
        <v>253</v>
      </c>
      <c r="F15" s="285" t="s">
        <v>373</v>
      </c>
      <c r="G15" s="288" t="s">
        <v>159</v>
      </c>
      <c r="H15" s="377" t="s">
        <v>390</v>
      </c>
      <c r="I15" s="377" t="s">
        <v>253</v>
      </c>
      <c r="J15" s="377" t="s">
        <v>1719</v>
      </c>
      <c r="K15" s="377" t="s">
        <v>253</v>
      </c>
      <c r="L15" s="377" t="s">
        <v>253</v>
      </c>
      <c r="M15" s="336">
        <f t="shared" si="0"/>
        <v>55.9</v>
      </c>
      <c r="N15" s="390"/>
    </row>
    <row r="16" spans="1:16" ht="13.5" customHeight="1" x14ac:dyDescent="0.25">
      <c r="A16" s="289">
        <v>3</v>
      </c>
      <c r="B16" s="285" t="s">
        <v>1862</v>
      </c>
      <c r="C16" s="384" t="s">
        <v>685</v>
      </c>
      <c r="D16" s="377" t="s">
        <v>253</v>
      </c>
      <c r="E16" s="377" t="s">
        <v>253</v>
      </c>
      <c r="F16" s="285" t="s">
        <v>373</v>
      </c>
      <c r="G16" s="288" t="s">
        <v>159</v>
      </c>
      <c r="H16" s="377" t="s">
        <v>390</v>
      </c>
      <c r="I16" s="377" t="s">
        <v>253</v>
      </c>
      <c r="J16" s="377" t="s">
        <v>1719</v>
      </c>
      <c r="K16" s="377" t="s">
        <v>253</v>
      </c>
      <c r="L16" s="377" t="s">
        <v>253</v>
      </c>
      <c r="M16" s="336">
        <f t="shared" si="0"/>
        <v>167.7</v>
      </c>
      <c r="N16" s="390"/>
    </row>
    <row r="17" spans="1:14" ht="13.5" customHeight="1" x14ac:dyDescent="0.25">
      <c r="A17" s="289">
        <v>1</v>
      </c>
      <c r="B17" s="285" t="s">
        <v>1863</v>
      </c>
      <c r="C17" s="384" t="s">
        <v>685</v>
      </c>
      <c r="D17" s="377" t="s">
        <v>253</v>
      </c>
      <c r="E17" s="377" t="s">
        <v>253</v>
      </c>
      <c r="F17" s="285" t="s">
        <v>373</v>
      </c>
      <c r="G17" s="288" t="s">
        <v>159</v>
      </c>
      <c r="H17" s="377" t="s">
        <v>390</v>
      </c>
      <c r="I17" s="377" t="s">
        <v>253</v>
      </c>
      <c r="J17" s="377" t="s">
        <v>1719</v>
      </c>
      <c r="K17" s="377" t="s">
        <v>253</v>
      </c>
      <c r="L17" s="377" t="s">
        <v>253</v>
      </c>
      <c r="M17" s="336">
        <f t="shared" si="0"/>
        <v>55.9</v>
      </c>
      <c r="N17" s="390"/>
    </row>
    <row r="18" spans="1:14" ht="13.5" customHeight="1" x14ac:dyDescent="0.25">
      <c r="A18" s="289">
        <v>2</v>
      </c>
      <c r="B18" s="285" t="s">
        <v>1864</v>
      </c>
      <c r="C18" s="384" t="s">
        <v>685</v>
      </c>
      <c r="D18" s="377" t="s">
        <v>253</v>
      </c>
      <c r="E18" s="377" t="s">
        <v>253</v>
      </c>
      <c r="F18" s="285" t="s">
        <v>373</v>
      </c>
      <c r="G18" s="288" t="s">
        <v>159</v>
      </c>
      <c r="H18" s="377" t="s">
        <v>390</v>
      </c>
      <c r="I18" s="377" t="s">
        <v>253</v>
      </c>
      <c r="J18" s="377" t="s">
        <v>1719</v>
      </c>
      <c r="K18" s="377" t="s">
        <v>253</v>
      </c>
      <c r="L18" s="377" t="s">
        <v>253</v>
      </c>
      <c r="M18" s="336">
        <f t="shared" si="0"/>
        <v>111.8</v>
      </c>
      <c r="N18" s="390"/>
    </row>
    <row r="19" spans="1:14" ht="13.5" customHeight="1" x14ac:dyDescent="0.25">
      <c r="A19" s="289">
        <v>1</v>
      </c>
      <c r="B19" s="285" t="s">
        <v>1865</v>
      </c>
      <c r="C19" s="384" t="s">
        <v>685</v>
      </c>
      <c r="D19" s="377" t="s">
        <v>253</v>
      </c>
      <c r="E19" s="377" t="s">
        <v>253</v>
      </c>
      <c r="F19" s="285" t="s">
        <v>373</v>
      </c>
      <c r="G19" s="288" t="s">
        <v>159</v>
      </c>
      <c r="H19" s="377" t="s">
        <v>390</v>
      </c>
      <c r="I19" s="377" t="s">
        <v>253</v>
      </c>
      <c r="J19" s="377" t="s">
        <v>1719</v>
      </c>
      <c r="K19" s="377" t="s">
        <v>253</v>
      </c>
      <c r="L19" s="377" t="s">
        <v>253</v>
      </c>
      <c r="M19" s="336">
        <f t="shared" si="0"/>
        <v>55.9</v>
      </c>
      <c r="N19" s="390"/>
    </row>
    <row r="20" spans="1:14" ht="13.5" customHeight="1" x14ac:dyDescent="0.25">
      <c r="A20" s="289">
        <v>1</v>
      </c>
      <c r="B20" s="285" t="s">
        <v>1866</v>
      </c>
      <c r="C20" s="384" t="s">
        <v>685</v>
      </c>
      <c r="D20" s="377" t="s">
        <v>253</v>
      </c>
      <c r="E20" s="377" t="s">
        <v>253</v>
      </c>
      <c r="F20" s="285" t="s">
        <v>373</v>
      </c>
      <c r="G20" s="288" t="s">
        <v>159</v>
      </c>
      <c r="H20" s="377" t="s">
        <v>390</v>
      </c>
      <c r="I20" s="377" t="s">
        <v>253</v>
      </c>
      <c r="J20" s="377" t="s">
        <v>1719</v>
      </c>
      <c r="K20" s="377" t="s">
        <v>253</v>
      </c>
      <c r="L20" s="377" t="s">
        <v>253</v>
      </c>
      <c r="M20" s="336">
        <f>27.95*A20</f>
        <v>27.95</v>
      </c>
      <c r="N20" s="390"/>
    </row>
    <row r="21" spans="1:14" ht="13.5" customHeight="1" x14ac:dyDescent="0.25">
      <c r="A21" s="290">
        <v>5</v>
      </c>
      <c r="B21" s="286" t="s">
        <v>1820</v>
      </c>
      <c r="C21" s="384" t="s">
        <v>160</v>
      </c>
      <c r="D21" s="377" t="s">
        <v>253</v>
      </c>
      <c r="E21" s="377" t="s">
        <v>253</v>
      </c>
      <c r="F21" s="282" t="s">
        <v>1718</v>
      </c>
      <c r="G21" s="281" t="s">
        <v>1716</v>
      </c>
      <c r="H21" s="377" t="s">
        <v>390</v>
      </c>
      <c r="I21" s="377" t="s">
        <v>253</v>
      </c>
      <c r="J21" s="377" t="s">
        <v>1719</v>
      </c>
      <c r="K21" s="377" t="s">
        <v>253</v>
      </c>
      <c r="L21" s="377" t="s">
        <v>253</v>
      </c>
      <c r="M21" s="377">
        <f>(M22/4)*5</f>
        <v>120.95</v>
      </c>
      <c r="N21" s="378"/>
    </row>
    <row r="22" spans="1:14" ht="13.5" customHeight="1" x14ac:dyDescent="0.25">
      <c r="A22" s="290">
        <v>4</v>
      </c>
      <c r="B22" s="286" t="s">
        <v>1821</v>
      </c>
      <c r="C22" s="377" t="s">
        <v>1717</v>
      </c>
      <c r="D22" s="377" t="s">
        <v>253</v>
      </c>
      <c r="E22" s="377" t="s">
        <v>253</v>
      </c>
      <c r="F22" s="282" t="s">
        <v>1718</v>
      </c>
      <c r="G22" s="281" t="s">
        <v>1716</v>
      </c>
      <c r="H22" s="377" t="s">
        <v>390</v>
      </c>
      <c r="I22" s="377" t="s">
        <v>253</v>
      </c>
      <c r="J22" s="377" t="s">
        <v>1719</v>
      </c>
      <c r="K22" s="377" t="s">
        <v>253</v>
      </c>
      <c r="L22" s="377" t="s">
        <v>253</v>
      </c>
      <c r="M22" s="370">
        <v>96.76</v>
      </c>
      <c r="N22" s="387"/>
    </row>
    <row r="23" spans="1:14" ht="13.5" customHeight="1" x14ac:dyDescent="0.25">
      <c r="A23" s="290">
        <v>1</v>
      </c>
      <c r="B23" s="286" t="s">
        <v>1822</v>
      </c>
      <c r="C23" s="377" t="s">
        <v>1717</v>
      </c>
      <c r="D23" s="377" t="s">
        <v>253</v>
      </c>
      <c r="E23" s="377" t="s">
        <v>253</v>
      </c>
      <c r="F23" s="282" t="s">
        <v>1718</v>
      </c>
      <c r="G23" s="281" t="s">
        <v>1716</v>
      </c>
      <c r="H23" s="377" t="s">
        <v>390</v>
      </c>
      <c r="I23" s="377" t="s">
        <v>253</v>
      </c>
      <c r="J23" s="377" t="s">
        <v>1823</v>
      </c>
      <c r="K23" s="377" t="s">
        <v>253</v>
      </c>
      <c r="L23" s="377" t="s">
        <v>253</v>
      </c>
      <c r="M23" s="377">
        <v>12.1</v>
      </c>
      <c r="N23" s="378"/>
    </row>
    <row r="24" spans="1:14" ht="13.5" customHeight="1" x14ac:dyDescent="0.25">
      <c r="A24" s="290">
        <v>3</v>
      </c>
      <c r="B24" s="281" t="s">
        <v>1819</v>
      </c>
      <c r="C24" s="377" t="s">
        <v>230</v>
      </c>
      <c r="D24" s="377"/>
      <c r="E24" s="377"/>
      <c r="F24" s="282" t="s">
        <v>229</v>
      </c>
      <c r="G24" s="281" t="s">
        <v>164</v>
      </c>
      <c r="H24" s="377" t="s">
        <v>390</v>
      </c>
      <c r="I24" s="377" t="s">
        <v>253</v>
      </c>
      <c r="J24" s="348" t="s">
        <v>1826</v>
      </c>
      <c r="K24" s="370"/>
      <c r="L24" s="370"/>
      <c r="M24" s="370">
        <v>45.87</v>
      </c>
      <c r="N24" s="387"/>
    </row>
    <row r="25" spans="1:14" ht="13.5" customHeight="1" thickBot="1" x14ac:dyDescent="0.3">
      <c r="A25" s="291">
        <v>12</v>
      </c>
      <c r="B25" s="292" t="s">
        <v>1825</v>
      </c>
      <c r="C25" s="386" t="s">
        <v>1824</v>
      </c>
      <c r="D25" s="386" t="s">
        <v>253</v>
      </c>
      <c r="E25" s="386" t="s">
        <v>253</v>
      </c>
      <c r="F25" s="293" t="s">
        <v>1715</v>
      </c>
      <c r="G25" s="292" t="s">
        <v>1720</v>
      </c>
      <c r="H25" s="386" t="s">
        <v>390</v>
      </c>
      <c r="I25" s="386" t="s">
        <v>253</v>
      </c>
      <c r="J25" s="386" t="s">
        <v>1721</v>
      </c>
      <c r="K25" s="386" t="s">
        <v>253</v>
      </c>
      <c r="L25" s="386" t="s">
        <v>253</v>
      </c>
      <c r="M25" s="388">
        <v>26.76</v>
      </c>
      <c r="N25" s="389"/>
    </row>
    <row r="26" spans="1:14" ht="13.5" customHeight="1" x14ac:dyDescent="0.25"/>
    <row r="27" spans="1:14" ht="13.5" customHeight="1" x14ac:dyDescent="0.25">
      <c r="I27" s="260"/>
      <c r="J27" s="260"/>
      <c r="K27" s="369" t="s">
        <v>263</v>
      </c>
      <c r="L27" s="369"/>
      <c r="M27" s="368">
        <f>SUM(M21:M25)</f>
        <v>302.44</v>
      </c>
      <c r="N27" s="368"/>
    </row>
  </sheetData>
  <mergeCells count="94">
    <mergeCell ref="C19:E19"/>
    <mergeCell ref="M19:N19"/>
    <mergeCell ref="C20:E20"/>
    <mergeCell ref="M20:N20"/>
    <mergeCell ref="H19:I19"/>
    <mergeCell ref="H20:I20"/>
    <mergeCell ref="J19:L19"/>
    <mergeCell ref="J20:L20"/>
    <mergeCell ref="C17:E17"/>
    <mergeCell ref="M17:N17"/>
    <mergeCell ref="C18:E18"/>
    <mergeCell ref="M18:N18"/>
    <mergeCell ref="H17:I17"/>
    <mergeCell ref="H18:I18"/>
    <mergeCell ref="J17:L17"/>
    <mergeCell ref="J18:L18"/>
    <mergeCell ref="C15:E15"/>
    <mergeCell ref="M15:N15"/>
    <mergeCell ref="C16:E16"/>
    <mergeCell ref="M16:N16"/>
    <mergeCell ref="H15:I15"/>
    <mergeCell ref="H16:I16"/>
    <mergeCell ref="J15:L15"/>
    <mergeCell ref="J16:L16"/>
    <mergeCell ref="C13:E13"/>
    <mergeCell ref="M13:N13"/>
    <mergeCell ref="C14:E14"/>
    <mergeCell ref="M14:N14"/>
    <mergeCell ref="H13:I13"/>
    <mergeCell ref="H14:I14"/>
    <mergeCell ref="J13:L13"/>
    <mergeCell ref="J14:L14"/>
    <mergeCell ref="C11:E11"/>
    <mergeCell ref="M11:N11"/>
    <mergeCell ref="C12:E12"/>
    <mergeCell ref="M12:N12"/>
    <mergeCell ref="H11:I11"/>
    <mergeCell ref="H12:I12"/>
    <mergeCell ref="J11:L11"/>
    <mergeCell ref="J12:L12"/>
    <mergeCell ref="M25:N25"/>
    <mergeCell ref="J25:L25"/>
    <mergeCell ref="K27:L27"/>
    <mergeCell ref="M27:N27"/>
    <mergeCell ref="C24:E24"/>
    <mergeCell ref="H24:I24"/>
    <mergeCell ref="H25:I25"/>
    <mergeCell ref="M22:N22"/>
    <mergeCell ref="M23:N23"/>
    <mergeCell ref="J24:L24"/>
    <mergeCell ref="M24:N24"/>
    <mergeCell ref="J23:L23"/>
    <mergeCell ref="H22:I22"/>
    <mergeCell ref="J21:L21"/>
    <mergeCell ref="C21:E21"/>
    <mergeCell ref="H21:I21"/>
    <mergeCell ref="J22:L22"/>
    <mergeCell ref="C25:E25"/>
    <mergeCell ref="C23:E23"/>
    <mergeCell ref="H23:I23"/>
    <mergeCell ref="C22:E22"/>
    <mergeCell ref="I3:J3"/>
    <mergeCell ref="K3:L3"/>
    <mergeCell ref="G3:H3"/>
    <mergeCell ref="K4:L4"/>
    <mergeCell ref="G4:H4"/>
    <mergeCell ref="C10:E10"/>
    <mergeCell ref="H10:I10"/>
    <mergeCell ref="A7:B7"/>
    <mergeCell ref="K5:L5"/>
    <mergeCell ref="C9:E9"/>
    <mergeCell ref="H9:I9"/>
    <mergeCell ref="G5:H5"/>
    <mergeCell ref="G6:H6"/>
    <mergeCell ref="M4:N4"/>
    <mergeCell ref="M9:N9"/>
    <mergeCell ref="J10:L10"/>
    <mergeCell ref="M10:N10"/>
    <mergeCell ref="G1:H1"/>
    <mergeCell ref="I1:J1"/>
    <mergeCell ref="K1:L1"/>
    <mergeCell ref="I2:J2"/>
    <mergeCell ref="K2:L2"/>
    <mergeCell ref="G2:H2"/>
    <mergeCell ref="M3:N3"/>
    <mergeCell ref="M2:N2"/>
    <mergeCell ref="I4:J4"/>
    <mergeCell ref="M21:N21"/>
    <mergeCell ref="I5:J5"/>
    <mergeCell ref="J9:L9"/>
    <mergeCell ref="I6:N6"/>
    <mergeCell ref="M5:N5"/>
    <mergeCell ref="C7:N7"/>
    <mergeCell ref="A8:N8"/>
  </mergeCells>
  <phoneticPr fontId="0" type="noConversion"/>
  <dataValidations count="4">
    <dataValidation type="list" allowBlank="1" showInputMessage="1" sqref="B24:B25 G11:G25" xr:uid="{9952ED4C-874B-4B84-AA75-2024233D9202}">
      <formula1>Misc.</formula1>
    </dataValidation>
    <dataValidation type="list" errorStyle="warning" allowBlank="1" showInputMessage="1" showErrorMessage="1" errorTitle="Unlisted" error="You have entered an unlisted item.  Please make sure the item entered is correct." sqref="H11:I25" xr:uid="{839E5762-8A4D-49C1-9117-5ED515881437}">
      <formula1>Coatings</formula1>
    </dataValidation>
    <dataValidation type="list" allowBlank="1" showInputMessage="1" sqref="C11:E25" xr:uid="{2EF8D4B3-9617-4B23-8CBE-ABB1724DC3E3}">
      <formula1>Misc.Des</formula1>
    </dataValidation>
    <dataValidation type="list" errorStyle="warning" allowBlank="1" showInputMessage="1" errorTitle="Unlisted" error="You have entered an unlisted item.  Please make sure the item entered is correct." sqref="F21:F25" xr:uid="{3F031AD4-41AB-4BA4-AE7C-C1B726CEAC46}">
      <formula1>Misc.Part2</formula1>
    </dataValidation>
  </dataValidations>
  <pageMargins left="0.25" right="0.25" top="0.25" bottom="0.25" header="0.5" footer="0.5"/>
  <pageSetup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3A72-4405-416A-B922-EB1698B7D6F3}">
  <sheetPr codeName="Sheet43"/>
  <dimension ref="A1:P17"/>
  <sheetViews>
    <sheetView topLeftCell="A7" workbookViewId="0">
      <selection activeCell="M27" sqref="M27"/>
    </sheetView>
  </sheetViews>
  <sheetFormatPr defaultColWidth="9.21875" defaultRowHeight="13.2" x14ac:dyDescent="0.25"/>
  <cols>
    <col min="1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48"/>
      <c r="F1" s="247"/>
      <c r="G1" s="352"/>
      <c r="H1" s="353"/>
      <c r="I1" s="353" t="s">
        <v>1351</v>
      </c>
      <c r="J1" s="353"/>
      <c r="K1" s="354">
        <v>7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42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42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42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42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38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42" t="s">
        <v>341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43"/>
      <c r="O8" s="236"/>
      <c r="P8" s="236"/>
    </row>
    <row r="9" spans="1:16" ht="22.5" customHeight="1" thickBot="1" x14ac:dyDescent="0.3">
      <c r="A9" s="235" t="s">
        <v>238</v>
      </c>
      <c r="B9" s="351" t="s">
        <v>239</v>
      </c>
      <c r="C9" s="341"/>
      <c r="D9" s="351" t="s">
        <v>240</v>
      </c>
      <c r="E9" s="340"/>
      <c r="F9" s="340"/>
      <c r="G9" s="340"/>
      <c r="H9" s="341"/>
      <c r="I9" s="342" t="s">
        <v>242</v>
      </c>
      <c r="J9" s="343"/>
      <c r="K9" s="351" t="s">
        <v>1345</v>
      </c>
      <c r="L9" s="341"/>
      <c r="M9" s="340" t="s">
        <v>327</v>
      </c>
      <c r="N9" s="341"/>
    </row>
    <row r="10" spans="1:16" ht="13.5" customHeight="1" x14ac:dyDescent="0.25">
      <c r="A10" s="261"/>
      <c r="B10" s="364"/>
      <c r="C10" s="364"/>
      <c r="D10" s="364"/>
      <c r="E10" s="364"/>
      <c r="F10" s="364"/>
      <c r="G10" s="364"/>
      <c r="H10" s="364"/>
      <c r="I10" s="364"/>
      <c r="J10" s="364"/>
      <c r="K10" s="364"/>
      <c r="L10" s="364"/>
      <c r="M10" s="364"/>
      <c r="N10" s="365"/>
    </row>
    <row r="11" spans="1:16" customFormat="1" ht="13.8" x14ac:dyDescent="0.25">
      <c r="A11" s="279">
        <v>1</v>
      </c>
      <c r="B11" s="336" t="s">
        <v>1827</v>
      </c>
      <c r="C11" s="336"/>
      <c r="D11" s="336" t="s">
        <v>1724</v>
      </c>
      <c r="E11" s="336"/>
      <c r="F11" s="336"/>
      <c r="G11" s="336"/>
      <c r="H11" s="336"/>
      <c r="I11" s="398" t="s">
        <v>390</v>
      </c>
      <c r="J11" s="398"/>
      <c r="K11" s="336" t="s">
        <v>1827</v>
      </c>
      <c r="L11" s="336"/>
      <c r="M11" s="336">
        <v>2.15</v>
      </c>
      <c r="N11" s="336"/>
    </row>
    <row r="12" spans="1:16" customFormat="1" ht="13.8" x14ac:dyDescent="0.25">
      <c r="A12" s="279">
        <v>1</v>
      </c>
      <c r="B12" s="336" t="s">
        <v>1828</v>
      </c>
      <c r="C12" s="336"/>
      <c r="D12" s="336" t="s">
        <v>1724</v>
      </c>
      <c r="E12" s="336"/>
      <c r="F12" s="336"/>
      <c r="G12" s="336"/>
      <c r="H12" s="336"/>
      <c r="I12" s="398" t="s">
        <v>390</v>
      </c>
      <c r="J12" s="398"/>
      <c r="K12" s="336" t="s">
        <v>1828</v>
      </c>
      <c r="L12" s="336"/>
      <c r="M12" s="336">
        <v>2.15</v>
      </c>
      <c r="N12" s="336"/>
    </row>
    <row r="13" spans="1:16" customFormat="1" ht="13.8" x14ac:dyDescent="0.25">
      <c r="A13" s="279">
        <v>1</v>
      </c>
      <c r="B13" s="336" t="s">
        <v>1829</v>
      </c>
      <c r="C13" s="336"/>
      <c r="D13" s="336" t="s">
        <v>1724</v>
      </c>
      <c r="E13" s="336"/>
      <c r="F13" s="336"/>
      <c r="G13" s="336"/>
      <c r="H13" s="336"/>
      <c r="I13" s="398" t="s">
        <v>390</v>
      </c>
      <c r="J13" s="398"/>
      <c r="K13" s="336" t="s">
        <v>1829</v>
      </c>
      <c r="L13" s="336"/>
      <c r="M13" s="336">
        <v>2.4300000000000002</v>
      </c>
      <c r="N13" s="336"/>
    </row>
    <row r="14" spans="1:16" customFormat="1" ht="13.8" x14ac:dyDescent="0.25">
      <c r="A14" s="279">
        <v>1</v>
      </c>
      <c r="B14" s="336" t="s">
        <v>1830</v>
      </c>
      <c r="C14" s="336"/>
      <c r="D14" s="391" t="s">
        <v>1723</v>
      </c>
      <c r="E14" s="391"/>
      <c r="F14" s="391"/>
      <c r="G14" s="391"/>
      <c r="H14" s="391"/>
      <c r="I14" s="398" t="s">
        <v>390</v>
      </c>
      <c r="J14" s="398"/>
      <c r="K14" s="391" t="s">
        <v>1722</v>
      </c>
      <c r="L14" s="391"/>
      <c r="M14" s="336">
        <v>0.57999999999999996</v>
      </c>
      <c r="N14" s="336"/>
    </row>
    <row r="15" spans="1:16" ht="13.5" customHeight="1" thickBot="1" x14ac:dyDescent="0.3">
      <c r="A15" s="257"/>
      <c r="B15" s="392"/>
      <c r="C15" s="392"/>
      <c r="D15" s="393"/>
      <c r="E15" s="394"/>
      <c r="F15" s="394"/>
      <c r="G15" s="394"/>
      <c r="H15" s="395"/>
      <c r="I15" s="393"/>
      <c r="J15" s="395"/>
      <c r="K15" s="393"/>
      <c r="L15" s="395"/>
      <c r="M15" s="396"/>
      <c r="N15" s="397"/>
    </row>
    <row r="16" spans="1:16" ht="13.5" customHeight="1" x14ac:dyDescent="0.25"/>
    <row r="17" spans="9:14" ht="13.5" customHeight="1" x14ac:dyDescent="0.25">
      <c r="I17" s="260"/>
      <c r="J17" s="260"/>
      <c r="K17" s="356" t="s">
        <v>263</v>
      </c>
      <c r="L17" s="356"/>
      <c r="M17" s="355">
        <f>SUM(M11:M15)</f>
        <v>7.3100000000000005</v>
      </c>
      <c r="N17" s="355"/>
    </row>
  </sheetData>
  <mergeCells count="61">
    <mergeCell ref="M12:N12"/>
    <mergeCell ref="M14:N14"/>
    <mergeCell ref="I14:J14"/>
    <mergeCell ref="K14:L14"/>
    <mergeCell ref="I11:J11"/>
    <mergeCell ref="M11:N11"/>
    <mergeCell ref="I12:J12"/>
    <mergeCell ref="K12:L12"/>
    <mergeCell ref="I13:J13"/>
    <mergeCell ref="K11:L11"/>
    <mergeCell ref="B15:C15"/>
    <mergeCell ref="K17:L17"/>
    <mergeCell ref="M17:N17"/>
    <mergeCell ref="D15:H15"/>
    <mergeCell ref="I15:J15"/>
    <mergeCell ref="K13:L13"/>
    <mergeCell ref="M13:N13"/>
    <mergeCell ref="M15:N15"/>
    <mergeCell ref="K15:L15"/>
    <mergeCell ref="D11:H11"/>
    <mergeCell ref="D10:H10"/>
    <mergeCell ref="B12:C12"/>
    <mergeCell ref="D14:H14"/>
    <mergeCell ref="D12:H12"/>
    <mergeCell ref="B13:C13"/>
    <mergeCell ref="B14:C14"/>
    <mergeCell ref="D13:H13"/>
    <mergeCell ref="B11:C11"/>
    <mergeCell ref="B10:C10"/>
    <mergeCell ref="G6:H6"/>
    <mergeCell ref="G2:H2"/>
    <mergeCell ref="G3:H3"/>
    <mergeCell ref="G4:H4"/>
    <mergeCell ref="I5:J5"/>
    <mergeCell ref="G1:H1"/>
    <mergeCell ref="G5:H5"/>
    <mergeCell ref="K1:L1"/>
    <mergeCell ref="I2:J2"/>
    <mergeCell ref="M3:N3"/>
    <mergeCell ref="I6:N6"/>
    <mergeCell ref="K2:L2"/>
    <mergeCell ref="M2:N2"/>
    <mergeCell ref="I4:J4"/>
    <mergeCell ref="I3:J3"/>
    <mergeCell ref="K3:L3"/>
    <mergeCell ref="I1:J1"/>
    <mergeCell ref="M4:N4"/>
    <mergeCell ref="K5:L5"/>
    <mergeCell ref="M5:N5"/>
    <mergeCell ref="K4:L4"/>
    <mergeCell ref="K10:L10"/>
    <mergeCell ref="M10:N10"/>
    <mergeCell ref="M9:N9"/>
    <mergeCell ref="B9:C9"/>
    <mergeCell ref="I10:J10"/>
    <mergeCell ref="D9:H9"/>
    <mergeCell ref="C7:N7"/>
    <mergeCell ref="A8:N8"/>
    <mergeCell ref="I9:J9"/>
    <mergeCell ref="K9:L9"/>
    <mergeCell ref="A7:B7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K11:L14 B11:C15" xr:uid="{7BB8758E-ECF6-44A8-91A3-58F0A31C353B}">
      <formula1>Clips</formula1>
    </dataValidation>
    <dataValidation type="list" errorStyle="warning" allowBlank="1" showInputMessage="1" showErrorMessage="1" errorTitle="Unlisted" error="You have entered an unlisted item.  Please make sure the item entered is correct." sqref="I11:J15" xr:uid="{67413898-6213-4071-A308-CFC0E73ED8AD}">
      <formula1>CoatingsMinus</formula1>
    </dataValidation>
  </dataValidations>
  <pageMargins left="0.25" right="0.25" top="0.25" bottom="0.25" header="0.5" footer="0.5"/>
  <pageSetup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F112-24A0-4D41-93F3-9230EBABECC0}">
  <sheetPr codeName="Sheet64"/>
  <dimension ref="A1:P19"/>
  <sheetViews>
    <sheetView topLeftCell="A7" workbookViewId="0">
      <selection activeCell="N32" sqref="N32"/>
    </sheetView>
  </sheetViews>
  <sheetFormatPr defaultColWidth="9.21875" defaultRowHeight="13.2" x14ac:dyDescent="0.25"/>
  <cols>
    <col min="1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48"/>
      <c r="F1" s="247"/>
      <c r="G1" s="352"/>
      <c r="H1" s="353"/>
      <c r="I1" s="353" t="s">
        <v>1351</v>
      </c>
      <c r="J1" s="353"/>
      <c r="K1" s="354">
        <v>8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42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42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42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42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38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42" t="s">
        <v>340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43"/>
      <c r="O8" s="236"/>
      <c r="P8" s="236"/>
    </row>
    <row r="9" spans="1:16" ht="22.5" customHeight="1" thickBot="1" x14ac:dyDescent="0.3">
      <c r="A9" s="235" t="s">
        <v>238</v>
      </c>
      <c r="B9" s="351" t="s">
        <v>239</v>
      </c>
      <c r="C9" s="341"/>
      <c r="D9" s="351" t="s">
        <v>240</v>
      </c>
      <c r="E9" s="340"/>
      <c r="F9" s="340"/>
      <c r="G9" s="340"/>
      <c r="H9" s="341"/>
      <c r="I9" s="342" t="s">
        <v>242</v>
      </c>
      <c r="J9" s="343"/>
      <c r="K9" s="351" t="s">
        <v>1345</v>
      </c>
      <c r="L9" s="341"/>
      <c r="M9" s="340" t="s">
        <v>327</v>
      </c>
      <c r="N9" s="341"/>
    </row>
    <row r="10" spans="1:16" ht="13.5" customHeight="1" x14ac:dyDescent="0.25">
      <c r="A10" s="261"/>
      <c r="B10" s="364"/>
      <c r="C10" s="364"/>
      <c r="D10" s="364"/>
      <c r="E10" s="364"/>
      <c r="F10" s="364"/>
      <c r="G10" s="364"/>
      <c r="H10" s="364"/>
      <c r="I10" s="364"/>
      <c r="J10" s="364"/>
      <c r="K10" s="364"/>
      <c r="L10" s="364"/>
      <c r="M10" s="364"/>
      <c r="N10" s="365"/>
    </row>
    <row r="11" spans="1:16" customFormat="1" ht="14.55" customHeight="1" x14ac:dyDescent="0.25">
      <c r="A11" s="279">
        <v>33</v>
      </c>
      <c r="B11" s="336" t="s">
        <v>1831</v>
      </c>
      <c r="C11" s="336"/>
      <c r="D11" s="336" t="s">
        <v>1832</v>
      </c>
      <c r="E11" s="336"/>
      <c r="F11" s="336"/>
      <c r="G11" s="336"/>
      <c r="H11" s="336"/>
      <c r="I11" s="336" t="s">
        <v>1833</v>
      </c>
      <c r="J11" s="336"/>
      <c r="K11" s="336" t="s">
        <v>1834</v>
      </c>
      <c r="L11" s="336"/>
      <c r="M11" s="336">
        <v>70.95</v>
      </c>
      <c r="N11" s="336"/>
    </row>
    <row r="12" spans="1:16" customFormat="1" ht="14.55" customHeight="1" x14ac:dyDescent="0.25">
      <c r="A12" s="279">
        <v>10</v>
      </c>
      <c r="B12" s="336" t="s">
        <v>1835</v>
      </c>
      <c r="C12" s="336"/>
      <c r="D12" s="336" t="s">
        <v>1836</v>
      </c>
      <c r="E12" s="336"/>
      <c r="F12" s="336"/>
      <c r="G12" s="336"/>
      <c r="H12" s="336"/>
      <c r="I12" s="336" t="s">
        <v>1833</v>
      </c>
      <c r="J12" s="336"/>
      <c r="K12" s="336" t="s">
        <v>1837</v>
      </c>
      <c r="L12" s="336"/>
      <c r="M12" s="336">
        <v>13.4</v>
      </c>
      <c r="N12" s="336"/>
    </row>
    <row r="13" spans="1:16" customFormat="1" ht="14.55" customHeight="1" x14ac:dyDescent="0.25">
      <c r="A13" s="279">
        <v>4</v>
      </c>
      <c r="B13" s="336" t="s">
        <v>1838</v>
      </c>
      <c r="C13" s="336"/>
      <c r="D13" s="336" t="s">
        <v>1839</v>
      </c>
      <c r="E13" s="336"/>
      <c r="F13" s="336"/>
      <c r="G13" s="336"/>
      <c r="H13" s="336"/>
      <c r="I13" s="336" t="s">
        <v>1833</v>
      </c>
      <c r="J13" s="336"/>
      <c r="K13" s="336" t="s">
        <v>1840</v>
      </c>
      <c r="L13" s="336"/>
      <c r="M13" s="336">
        <v>5.36</v>
      </c>
      <c r="N13" s="336"/>
    </row>
    <row r="14" spans="1:16" customFormat="1" ht="14.55" customHeight="1" x14ac:dyDescent="0.25">
      <c r="A14" s="283">
        <v>2</v>
      </c>
      <c r="B14" s="348" t="s">
        <v>1841</v>
      </c>
      <c r="C14" s="336"/>
      <c r="D14" s="336" t="s">
        <v>1832</v>
      </c>
      <c r="E14" s="336"/>
      <c r="F14" s="336"/>
      <c r="G14" s="336"/>
      <c r="H14" s="336"/>
      <c r="I14" s="336" t="s">
        <v>1833</v>
      </c>
      <c r="J14" s="336"/>
      <c r="K14" s="336" t="s">
        <v>1834</v>
      </c>
      <c r="L14" s="336"/>
      <c r="M14" s="348">
        <v>4.3</v>
      </c>
      <c r="N14" s="336"/>
    </row>
    <row r="15" spans="1:16" customFormat="1" ht="14.55" customHeight="1" x14ac:dyDescent="0.25">
      <c r="A15" s="283">
        <v>2</v>
      </c>
      <c r="B15" s="348" t="s">
        <v>1842</v>
      </c>
      <c r="C15" s="336"/>
      <c r="D15" s="336" t="s">
        <v>1836</v>
      </c>
      <c r="E15" s="336"/>
      <c r="F15" s="336"/>
      <c r="G15" s="336"/>
      <c r="H15" s="336"/>
      <c r="I15" s="336" t="s">
        <v>1833</v>
      </c>
      <c r="J15" s="336"/>
      <c r="K15" s="336" t="s">
        <v>1837</v>
      </c>
      <c r="L15" s="336"/>
      <c r="M15" s="348">
        <v>2.7</v>
      </c>
      <c r="N15" s="336"/>
    </row>
    <row r="16" spans="1:16" customFormat="1" ht="14.55" customHeight="1" x14ac:dyDescent="0.25">
      <c r="A16" s="283">
        <v>2</v>
      </c>
      <c r="B16" s="348" t="s">
        <v>1843</v>
      </c>
      <c r="C16" s="336"/>
      <c r="D16" s="336" t="s">
        <v>1839</v>
      </c>
      <c r="E16" s="336"/>
      <c r="F16" s="336"/>
      <c r="G16" s="336"/>
      <c r="H16" s="336"/>
      <c r="I16" s="336" t="s">
        <v>1833</v>
      </c>
      <c r="J16" s="336"/>
      <c r="K16" s="336" t="s">
        <v>1840</v>
      </c>
      <c r="L16" s="336"/>
      <c r="M16" s="348">
        <v>2.7</v>
      </c>
      <c r="N16" s="336"/>
    </row>
    <row r="17" spans="1:14" ht="13.5" customHeight="1" thickBot="1" x14ac:dyDescent="0.3">
      <c r="A17" s="257"/>
      <c r="B17" s="392"/>
      <c r="C17" s="392"/>
      <c r="D17" s="393"/>
      <c r="E17" s="394"/>
      <c r="F17" s="394"/>
      <c r="G17" s="394"/>
      <c r="H17" s="395"/>
      <c r="I17" s="393"/>
      <c r="J17" s="395"/>
      <c r="K17" s="393"/>
      <c r="L17" s="395"/>
      <c r="M17" s="396"/>
      <c r="N17" s="397"/>
    </row>
    <row r="18" spans="1:14" ht="13.5" customHeight="1" x14ac:dyDescent="0.25"/>
    <row r="19" spans="1:14" ht="13.5" customHeight="1" x14ac:dyDescent="0.25">
      <c r="I19" s="260"/>
      <c r="J19" s="260"/>
      <c r="K19" s="356" t="s">
        <v>263</v>
      </c>
      <c r="L19" s="356"/>
      <c r="M19" s="355">
        <f>SUM(M11:M17)</f>
        <v>99.410000000000011</v>
      </c>
      <c r="N19" s="355"/>
    </row>
  </sheetData>
  <mergeCells count="71">
    <mergeCell ref="M16:N16"/>
    <mergeCell ref="B14:C14"/>
    <mergeCell ref="D14:H14"/>
    <mergeCell ref="I14:J14"/>
    <mergeCell ref="K14:L14"/>
    <mergeCell ref="M14:N14"/>
    <mergeCell ref="B13:C13"/>
    <mergeCell ref="D13:H13"/>
    <mergeCell ref="B16:C16"/>
    <mergeCell ref="D16:H16"/>
    <mergeCell ref="I16:J16"/>
    <mergeCell ref="K16:L16"/>
    <mergeCell ref="K10:L10"/>
    <mergeCell ref="K12:L12"/>
    <mergeCell ref="M12:N12"/>
    <mergeCell ref="K11:L11"/>
    <mergeCell ref="M11:N11"/>
    <mergeCell ref="B15:C15"/>
    <mergeCell ref="D15:H15"/>
    <mergeCell ref="I15:J15"/>
    <mergeCell ref="K15:L15"/>
    <mergeCell ref="M15:N15"/>
    <mergeCell ref="M19:N19"/>
    <mergeCell ref="B17:C17"/>
    <mergeCell ref="K19:L19"/>
    <mergeCell ref="D17:H17"/>
    <mergeCell ref="I17:J17"/>
    <mergeCell ref="M13:N13"/>
    <mergeCell ref="K13:L13"/>
    <mergeCell ref="K17:L17"/>
    <mergeCell ref="M17:N17"/>
    <mergeCell ref="I13:J13"/>
    <mergeCell ref="M2:N2"/>
    <mergeCell ref="I5:J5"/>
    <mergeCell ref="K5:L5"/>
    <mergeCell ref="M5:N5"/>
    <mergeCell ref="M4:N4"/>
    <mergeCell ref="M3:N3"/>
    <mergeCell ref="D11:H11"/>
    <mergeCell ref="I12:J12"/>
    <mergeCell ref="B11:C11"/>
    <mergeCell ref="B12:C12"/>
    <mergeCell ref="D12:H12"/>
    <mergeCell ref="I11:J11"/>
    <mergeCell ref="B10:C10"/>
    <mergeCell ref="M10:N10"/>
    <mergeCell ref="D10:H10"/>
    <mergeCell ref="K4:L4"/>
    <mergeCell ref="I3:J3"/>
    <mergeCell ref="K3:L3"/>
    <mergeCell ref="G6:H6"/>
    <mergeCell ref="A7:B7"/>
    <mergeCell ref="I10:J10"/>
    <mergeCell ref="C7:N7"/>
    <mergeCell ref="D9:H9"/>
    <mergeCell ref="I6:N6"/>
    <mergeCell ref="G5:H5"/>
    <mergeCell ref="M9:N9"/>
    <mergeCell ref="K9:L9"/>
    <mergeCell ref="I9:J9"/>
    <mergeCell ref="A8:N8"/>
    <mergeCell ref="B9:C9"/>
    <mergeCell ref="G3:H3"/>
    <mergeCell ref="G4:H4"/>
    <mergeCell ref="I4:J4"/>
    <mergeCell ref="G1:H1"/>
    <mergeCell ref="I1:J1"/>
    <mergeCell ref="K1:L1"/>
    <mergeCell ref="I2:J2"/>
    <mergeCell ref="K2:L2"/>
    <mergeCell ref="G2:H2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K11:L16 B11:C17" xr:uid="{74785EB3-4C86-4D31-9320-FDFD995D386A}">
      <formula1>GalvClips</formula1>
    </dataValidation>
    <dataValidation type="list" allowBlank="1" showInputMessage="1" showErrorMessage="1" sqref="I11:J17" xr:uid="{8501274C-2E58-4136-9AB8-2C8507B23FFD}">
      <formula1>PGColor</formula1>
    </dataValidation>
  </dataValidations>
  <pageMargins left="0.25" right="0.25" top="0.25" bottom="0.25" header="0.5" footer="0.5"/>
  <pageSetup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34AA-EF6B-4431-A598-1A62380356E9}">
  <sheetPr codeName="Sheet103"/>
  <dimension ref="A1:P14"/>
  <sheetViews>
    <sheetView topLeftCell="C7" workbookViewId="0">
      <selection activeCell="M12" sqref="M12:N12"/>
    </sheetView>
  </sheetViews>
  <sheetFormatPr defaultColWidth="9.21875" defaultRowHeight="13.2" x14ac:dyDescent="0.25"/>
  <cols>
    <col min="1" max="14" width="9.77734375" style="244" customWidth="1"/>
    <col min="15" max="16384" width="9.21875" style="244"/>
  </cols>
  <sheetData>
    <row r="1" spans="1:16" ht="19.5" customHeight="1" x14ac:dyDescent="0.25">
      <c r="A1" s="234"/>
      <c r="B1" s="248"/>
      <c r="C1" s="248"/>
      <c r="D1" s="248"/>
      <c r="E1" s="248"/>
      <c r="F1" s="247"/>
      <c r="G1" s="352"/>
      <c r="H1" s="353"/>
      <c r="I1" s="353" t="s">
        <v>1351</v>
      </c>
      <c r="J1" s="353"/>
      <c r="K1" s="354">
        <v>9</v>
      </c>
      <c r="L1" s="354"/>
      <c r="M1" s="246" t="s">
        <v>257</v>
      </c>
      <c r="N1" s="245">
        <f>Cover!$M$22</f>
        <v>10</v>
      </c>
    </row>
    <row r="2" spans="1:16" ht="19.5" customHeight="1" x14ac:dyDescent="0.25">
      <c r="A2" s="243"/>
      <c r="B2" s="242"/>
      <c r="C2" s="242"/>
      <c r="D2" s="242"/>
      <c r="E2" s="242"/>
      <c r="F2" s="241"/>
      <c r="G2" s="344" t="s">
        <v>260</v>
      </c>
      <c r="H2" s="349"/>
      <c r="I2" s="345" t="str">
        <f>Cover!$G$24</f>
        <v>403184_Secondary</v>
      </c>
      <c r="J2" s="345"/>
      <c r="K2" s="345" t="s">
        <v>1346</v>
      </c>
      <c r="L2" s="345"/>
      <c r="M2" s="346">
        <f>Cover!$G$27</f>
        <v>45985</v>
      </c>
      <c r="N2" s="347"/>
    </row>
    <row r="3" spans="1:16" ht="19.5" customHeight="1" x14ac:dyDescent="0.25">
      <c r="A3" s="243"/>
      <c r="B3" s="242"/>
      <c r="C3" s="242"/>
      <c r="D3" s="242"/>
      <c r="E3" s="242"/>
      <c r="F3" s="241"/>
      <c r="G3" s="344" t="s">
        <v>259</v>
      </c>
      <c r="H3" s="345"/>
      <c r="I3" s="345"/>
      <c r="J3" s="345"/>
      <c r="K3" s="330" t="s">
        <v>1347</v>
      </c>
      <c r="L3" s="330"/>
      <c r="M3" s="330"/>
      <c r="N3" s="331"/>
      <c r="P3" s="240"/>
    </row>
    <row r="4" spans="1:16" ht="19.5" customHeight="1" x14ac:dyDescent="0.25">
      <c r="A4" s="243"/>
      <c r="B4" s="242"/>
      <c r="C4" s="242"/>
      <c r="D4" s="242"/>
      <c r="E4" s="242"/>
      <c r="F4" s="241"/>
      <c r="G4" s="344" t="s">
        <v>261</v>
      </c>
      <c r="H4" s="349"/>
      <c r="I4" s="345" t="str">
        <f>Cover!$M$36</f>
        <v xml:space="preserve">     </v>
      </c>
      <c r="J4" s="345"/>
      <c r="K4" s="346" t="s">
        <v>1350</v>
      </c>
      <c r="L4" s="346"/>
      <c r="M4" s="330"/>
      <c r="N4" s="331"/>
    </row>
    <row r="5" spans="1:16" ht="19.5" customHeight="1" x14ac:dyDescent="0.25">
      <c r="A5" s="243"/>
      <c r="B5" s="242"/>
      <c r="C5" s="242"/>
      <c r="D5" s="242"/>
      <c r="E5" s="242"/>
      <c r="F5" s="241"/>
      <c r="G5" s="344" t="s">
        <v>262</v>
      </c>
      <c r="H5" s="345"/>
      <c r="I5" s="346" t="str">
        <f xml:space="preserve"> Cover!$M$37</f>
        <v xml:space="preserve">     </v>
      </c>
      <c r="J5" s="346"/>
      <c r="K5" s="330" t="s">
        <v>1349</v>
      </c>
      <c r="L5" s="330"/>
      <c r="M5" s="330"/>
      <c r="N5" s="331"/>
    </row>
    <row r="6" spans="1:16" ht="19.5" customHeight="1" thickBot="1" x14ac:dyDescent="0.3">
      <c r="A6" s="239"/>
      <c r="B6" s="238"/>
      <c r="C6" s="238"/>
      <c r="D6" s="238"/>
      <c r="E6" s="238"/>
      <c r="F6" s="237"/>
      <c r="G6" s="359" t="s">
        <v>1348</v>
      </c>
      <c r="H6" s="360"/>
      <c r="I6" s="332" t="str">
        <f>Cover!$G$32</f>
        <v xml:space="preserve">     </v>
      </c>
      <c r="J6" s="333"/>
      <c r="K6" s="333"/>
      <c r="L6" s="333"/>
      <c r="M6" s="333"/>
      <c r="N6" s="334"/>
    </row>
    <row r="7" spans="1:16" ht="19.5" customHeight="1" thickBot="1" x14ac:dyDescent="0.3">
      <c r="A7" s="342" t="s">
        <v>258</v>
      </c>
      <c r="B7" s="343"/>
      <c r="C7" s="337">
        <f>Cover!$G$28</f>
        <v>0</v>
      </c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9"/>
    </row>
    <row r="8" spans="1:16" ht="19.5" customHeight="1" thickBot="1" x14ac:dyDescent="0.3">
      <c r="A8" s="342" t="s">
        <v>333</v>
      </c>
      <c r="B8" s="350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43"/>
      <c r="O8" s="236"/>
      <c r="P8" s="236"/>
    </row>
    <row r="9" spans="1:16" ht="22.5" customHeight="1" thickBot="1" x14ac:dyDescent="0.3">
      <c r="A9" s="235" t="s">
        <v>238</v>
      </c>
      <c r="B9" s="235" t="s">
        <v>239</v>
      </c>
      <c r="C9" s="340" t="s">
        <v>240</v>
      </c>
      <c r="D9" s="340"/>
      <c r="E9" s="340"/>
      <c r="F9" s="341"/>
      <c r="G9" s="235" t="s">
        <v>271</v>
      </c>
      <c r="H9" s="351" t="s">
        <v>242</v>
      </c>
      <c r="I9" s="341"/>
      <c r="J9" s="351" t="s">
        <v>241</v>
      </c>
      <c r="K9" s="340"/>
      <c r="L9" s="341"/>
      <c r="M9" s="340" t="s">
        <v>327</v>
      </c>
      <c r="N9" s="341"/>
    </row>
    <row r="10" spans="1:16" ht="13.5" customHeight="1" x14ac:dyDescent="0.25">
      <c r="A10" s="253"/>
      <c r="B10" s="254"/>
      <c r="C10" s="373"/>
      <c r="D10" s="373"/>
      <c r="E10" s="373"/>
      <c r="F10" s="373"/>
      <c r="G10" s="254"/>
      <c r="H10" s="373"/>
      <c r="I10" s="373"/>
      <c r="J10" s="373"/>
      <c r="K10" s="373"/>
      <c r="L10" s="373"/>
      <c r="M10" s="373"/>
      <c r="N10" s="376"/>
    </row>
    <row r="11" spans="1:16" ht="13.5" customHeight="1" x14ac:dyDescent="0.25">
      <c r="A11" s="250">
        <v>4</v>
      </c>
      <c r="B11" s="251" t="s">
        <v>1725</v>
      </c>
      <c r="C11" s="401" t="s">
        <v>1726</v>
      </c>
      <c r="D11" s="401" t="s">
        <v>253</v>
      </c>
      <c r="E11" s="401" t="s">
        <v>253</v>
      </c>
      <c r="F11" s="401" t="s">
        <v>253</v>
      </c>
      <c r="G11" s="251" t="s">
        <v>1725</v>
      </c>
      <c r="H11" s="401" t="s">
        <v>1727</v>
      </c>
      <c r="I11" s="401" t="s">
        <v>253</v>
      </c>
      <c r="J11" s="401" t="s">
        <v>1728</v>
      </c>
      <c r="K11" s="401" t="s">
        <v>253</v>
      </c>
      <c r="L11" s="401" t="s">
        <v>253</v>
      </c>
      <c r="M11" s="401">
        <f>22*A11</f>
        <v>88</v>
      </c>
      <c r="N11" s="402"/>
    </row>
    <row r="12" spans="1:16" ht="13.5" customHeight="1" thickBot="1" x14ac:dyDescent="0.3">
      <c r="A12" s="257"/>
      <c r="B12" s="258"/>
      <c r="C12" s="392"/>
      <c r="D12" s="392"/>
      <c r="E12" s="392"/>
      <c r="F12" s="392"/>
      <c r="G12" s="259"/>
      <c r="H12" s="399"/>
      <c r="I12" s="399"/>
      <c r="J12" s="392"/>
      <c r="K12" s="392"/>
      <c r="L12" s="392"/>
      <c r="M12" s="392"/>
      <c r="N12" s="400"/>
    </row>
    <row r="13" spans="1:16" ht="13.5" customHeight="1" x14ac:dyDescent="0.25"/>
    <row r="14" spans="1:16" ht="13.5" customHeight="1" x14ac:dyDescent="0.25">
      <c r="I14" s="260"/>
      <c r="J14" s="260"/>
      <c r="K14" s="356" t="s">
        <v>263</v>
      </c>
      <c r="L14" s="356"/>
      <c r="M14" s="355">
        <f>SUM(M11:M12)</f>
        <v>88</v>
      </c>
      <c r="N14" s="355"/>
    </row>
  </sheetData>
  <mergeCells count="42">
    <mergeCell ref="G1:H1"/>
    <mergeCell ref="I1:J1"/>
    <mergeCell ref="K1:L1"/>
    <mergeCell ref="G2:H2"/>
    <mergeCell ref="I2:J2"/>
    <mergeCell ref="K2:L2"/>
    <mergeCell ref="M2:N2"/>
    <mergeCell ref="G3:H3"/>
    <mergeCell ref="I3:J3"/>
    <mergeCell ref="K3:L3"/>
    <mergeCell ref="M3:N3"/>
    <mergeCell ref="G4:H4"/>
    <mergeCell ref="I4:J4"/>
    <mergeCell ref="K4:L4"/>
    <mergeCell ref="M4:N4"/>
    <mergeCell ref="G5:H5"/>
    <mergeCell ref="I5:J5"/>
    <mergeCell ref="K5:L5"/>
    <mergeCell ref="M5:N5"/>
    <mergeCell ref="G6:H6"/>
    <mergeCell ref="I6:N6"/>
    <mergeCell ref="A7:B7"/>
    <mergeCell ref="C7:N7"/>
    <mergeCell ref="A8:N8"/>
    <mergeCell ref="C9:F9"/>
    <mergeCell ref="H9:I9"/>
    <mergeCell ref="J9:L9"/>
    <mergeCell ref="M9:N9"/>
    <mergeCell ref="C10:F10"/>
    <mergeCell ref="H10:I10"/>
    <mergeCell ref="J10:L10"/>
    <mergeCell ref="M10:N10"/>
    <mergeCell ref="C11:F11"/>
    <mergeCell ref="H11:I11"/>
    <mergeCell ref="J11:L11"/>
    <mergeCell ref="M11:N11"/>
    <mergeCell ref="K14:L14"/>
    <mergeCell ref="M14:N14"/>
    <mergeCell ref="C12:F12"/>
    <mergeCell ref="H12:I12"/>
    <mergeCell ref="J12:L12"/>
    <mergeCell ref="M12:N12"/>
  </mergeCells>
  <phoneticPr fontId="21" type="noConversion"/>
  <dataValidations count="2">
    <dataValidation errorStyle="warning" allowBlank="1" showInputMessage="1" showErrorMessage="1" errorTitle="Unlisted" error="You have entered an unlisted item.  Please make sure the item entered is correct." sqref="H12:I12 H11:I11" xr:uid="{8D1FBDBA-31EB-48A0-A344-F35732C29111}"/>
    <dataValidation type="list" errorStyle="warning" allowBlank="1" showInputMessage="1" showErrorMessage="1" errorTitle="Unlisted" error="You have entered an unlisted item.  Please make sure the item entered is correct." sqref="B11:B12" xr:uid="{C6B65706-6A66-4B84-9401-DF8C20FEB8BD}">
      <formula1>SSRHDW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A502-CCD3-47DF-8565-E184824B7620}">
  <sheetPr codeName="Sheet110"/>
  <dimension ref="A1:T38"/>
  <sheetViews>
    <sheetView workbookViewId="0">
      <selection activeCell="A12" sqref="A1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354">
        <v>10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328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156" t="s">
        <v>239</v>
      </c>
      <c r="C9" s="422" t="s">
        <v>240</v>
      </c>
      <c r="D9" s="423"/>
      <c r="E9" s="423"/>
      <c r="F9" s="423"/>
      <c r="G9" s="424"/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413"/>
      <c r="G10" s="413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249">
        <f>4*12*6</f>
        <v>288</v>
      </c>
      <c r="B11" s="143"/>
      <c r="C11" s="411" t="s">
        <v>449</v>
      </c>
      <c r="D11" s="405"/>
      <c r="E11" s="405"/>
      <c r="F11" s="405"/>
      <c r="G11" s="405"/>
      <c r="H11" s="412" t="s">
        <v>534</v>
      </c>
      <c r="I11" s="406"/>
      <c r="J11" s="405" t="s">
        <v>1353</v>
      </c>
      <c r="K11" s="405"/>
      <c r="L11" s="405"/>
      <c r="M11" s="405"/>
      <c r="N11" s="407"/>
    </row>
    <row r="12" spans="1:16" ht="13.5" customHeight="1" x14ac:dyDescent="0.25">
      <c r="A12" s="249">
        <v>494</v>
      </c>
      <c r="B12" s="143"/>
      <c r="C12" s="411" t="s">
        <v>454</v>
      </c>
      <c r="D12" s="405"/>
      <c r="E12" s="405"/>
      <c r="F12" s="405"/>
      <c r="G12" s="405"/>
      <c r="H12" s="412" t="s">
        <v>534</v>
      </c>
      <c r="I12" s="406"/>
      <c r="J12" s="405" t="s">
        <v>1353</v>
      </c>
      <c r="K12" s="405"/>
      <c r="L12" s="405"/>
      <c r="M12" s="405"/>
      <c r="N12" s="407"/>
    </row>
    <row r="13" spans="1:16" ht="13.5" customHeight="1" x14ac:dyDescent="0.25">
      <c r="A13" s="142"/>
      <c r="B13" s="143"/>
      <c r="C13" s="405"/>
      <c r="D13" s="405"/>
      <c r="E13" s="405"/>
      <c r="F13" s="405"/>
      <c r="G13" s="405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05"/>
      <c r="D14" s="405"/>
      <c r="E14" s="405"/>
      <c r="F14" s="405"/>
      <c r="G14" s="405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05"/>
      <c r="D15" s="405"/>
      <c r="E15" s="405"/>
      <c r="F15" s="405"/>
      <c r="G15" s="405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05"/>
      <c r="D16" s="405"/>
      <c r="E16" s="405"/>
      <c r="F16" s="405"/>
      <c r="G16" s="405"/>
      <c r="H16" s="406"/>
      <c r="I16" s="406"/>
      <c r="J16" s="405"/>
      <c r="K16" s="405"/>
      <c r="L16" s="405"/>
      <c r="M16" s="405"/>
      <c r="N16" s="407"/>
    </row>
    <row r="17" spans="1:20" ht="13.5" customHeight="1" x14ac:dyDescent="0.25">
      <c r="A17" s="142"/>
      <c r="B17" s="143"/>
      <c r="C17" s="405"/>
      <c r="D17" s="405"/>
      <c r="E17" s="405"/>
      <c r="F17" s="405"/>
      <c r="G17" s="405"/>
      <c r="H17" s="406"/>
      <c r="I17" s="406"/>
      <c r="J17" s="405"/>
      <c r="K17" s="405"/>
      <c r="L17" s="405"/>
      <c r="M17" s="405"/>
      <c r="N17" s="407"/>
    </row>
    <row r="18" spans="1:20" ht="13.5" customHeight="1" x14ac:dyDescent="0.25">
      <c r="A18" s="142"/>
      <c r="B18" s="143"/>
      <c r="C18" s="405"/>
      <c r="D18" s="405"/>
      <c r="E18" s="405"/>
      <c r="F18" s="405"/>
      <c r="G18" s="405"/>
      <c r="H18" s="406"/>
      <c r="I18" s="406"/>
      <c r="J18" s="405"/>
      <c r="K18" s="405"/>
      <c r="L18" s="405"/>
      <c r="M18" s="405"/>
      <c r="N18" s="407"/>
      <c r="T18" s="244"/>
    </row>
    <row r="19" spans="1:20" ht="13.5" customHeight="1" x14ac:dyDescent="0.25">
      <c r="A19" s="142"/>
      <c r="B19" s="143"/>
      <c r="C19" s="405"/>
      <c r="D19" s="405"/>
      <c r="E19" s="405"/>
      <c r="F19" s="405"/>
      <c r="G19" s="405"/>
      <c r="H19" s="406"/>
      <c r="I19" s="406"/>
      <c r="J19" s="405"/>
      <c r="K19" s="405"/>
      <c r="L19" s="405"/>
      <c r="M19" s="405"/>
      <c r="N19" s="407"/>
    </row>
    <row r="20" spans="1:20" ht="13.5" customHeight="1" x14ac:dyDescent="0.25">
      <c r="A20" s="142"/>
      <c r="B20" s="143"/>
      <c r="C20" s="405"/>
      <c r="D20" s="405"/>
      <c r="E20" s="405"/>
      <c r="F20" s="405"/>
      <c r="G20" s="405"/>
      <c r="H20" s="406"/>
      <c r="I20" s="406"/>
      <c r="J20" s="405"/>
      <c r="K20" s="405"/>
      <c r="L20" s="405"/>
      <c r="M20" s="405"/>
      <c r="N20" s="407"/>
    </row>
    <row r="21" spans="1:20" s="2" customFormat="1" ht="13.5" customHeight="1" x14ac:dyDescent="0.25">
      <c r="A21" s="142"/>
      <c r="B21" s="143"/>
      <c r="C21" s="405"/>
      <c r="D21" s="405"/>
      <c r="E21" s="405"/>
      <c r="F21" s="405"/>
      <c r="G21" s="405"/>
      <c r="H21" s="406"/>
      <c r="I21" s="406"/>
      <c r="J21" s="405"/>
      <c r="K21" s="405"/>
      <c r="L21" s="405"/>
      <c r="M21" s="405"/>
      <c r="N21" s="407"/>
      <c r="S21"/>
    </row>
    <row r="22" spans="1:20" ht="13.5" customHeight="1" x14ac:dyDescent="0.25">
      <c r="A22" s="142"/>
      <c r="B22" s="143"/>
      <c r="C22" s="405"/>
      <c r="D22" s="405"/>
      <c r="E22" s="405"/>
      <c r="F22" s="405"/>
      <c r="G22" s="405"/>
      <c r="H22" s="406"/>
      <c r="I22" s="406"/>
      <c r="J22" s="405"/>
      <c r="K22" s="405"/>
      <c r="L22" s="405"/>
      <c r="M22" s="405"/>
      <c r="N22" s="407"/>
    </row>
    <row r="23" spans="1:20" ht="13.5" customHeight="1" x14ac:dyDescent="0.25">
      <c r="A23" s="142"/>
      <c r="B23" s="143"/>
      <c r="C23" s="405"/>
      <c r="D23" s="405"/>
      <c r="E23" s="405"/>
      <c r="F23" s="405"/>
      <c r="G23" s="405"/>
      <c r="H23" s="406"/>
      <c r="I23" s="406"/>
      <c r="J23" s="405"/>
      <c r="K23" s="405"/>
      <c r="L23" s="405"/>
      <c r="M23" s="405"/>
      <c r="N23" s="407"/>
    </row>
    <row r="24" spans="1:20" ht="13.5" customHeight="1" x14ac:dyDescent="0.25">
      <c r="A24" s="142"/>
      <c r="B24" s="143"/>
      <c r="C24" s="405"/>
      <c r="D24" s="405"/>
      <c r="E24" s="405"/>
      <c r="F24" s="405"/>
      <c r="G24" s="405"/>
      <c r="H24" s="406"/>
      <c r="I24" s="406"/>
      <c r="J24" s="405"/>
      <c r="K24" s="405"/>
      <c r="L24" s="405"/>
      <c r="M24" s="405"/>
      <c r="N24" s="407"/>
    </row>
    <row r="25" spans="1:20" ht="13.5" customHeight="1" x14ac:dyDescent="0.25">
      <c r="A25" s="142"/>
      <c r="B25" s="143"/>
      <c r="C25" s="405"/>
      <c r="D25" s="405"/>
      <c r="E25" s="405"/>
      <c r="F25" s="405"/>
      <c r="G25" s="405"/>
      <c r="H25" s="406"/>
      <c r="I25" s="406"/>
      <c r="J25" s="405"/>
      <c r="K25" s="405"/>
      <c r="L25" s="405"/>
      <c r="M25" s="405"/>
      <c r="N25" s="407"/>
    </row>
    <row r="26" spans="1:20" ht="13.5" customHeight="1" x14ac:dyDescent="0.25">
      <c r="A26" s="142"/>
      <c r="B26" s="143"/>
      <c r="C26" s="405"/>
      <c r="D26" s="405"/>
      <c r="E26" s="405"/>
      <c r="F26" s="405"/>
      <c r="G26" s="405"/>
      <c r="H26" s="406"/>
      <c r="I26" s="406"/>
      <c r="J26" s="405"/>
      <c r="K26" s="405"/>
      <c r="L26" s="405"/>
      <c r="M26" s="405"/>
      <c r="N26" s="407"/>
    </row>
    <row r="27" spans="1:20" ht="13.5" customHeight="1" x14ac:dyDescent="0.25">
      <c r="A27" s="142"/>
      <c r="B27" s="143"/>
      <c r="C27" s="405"/>
      <c r="D27" s="405"/>
      <c r="E27" s="405"/>
      <c r="F27" s="405"/>
      <c r="G27" s="405"/>
      <c r="H27" s="406"/>
      <c r="I27" s="406"/>
      <c r="J27" s="405"/>
      <c r="K27" s="405"/>
      <c r="L27" s="405"/>
      <c r="M27" s="405"/>
      <c r="N27" s="407"/>
    </row>
    <row r="28" spans="1:20" ht="13.5" customHeight="1" x14ac:dyDescent="0.25">
      <c r="A28" s="142"/>
      <c r="B28" s="143"/>
      <c r="C28" s="405"/>
      <c r="D28" s="405"/>
      <c r="E28" s="405"/>
      <c r="F28" s="405"/>
      <c r="G28" s="405"/>
      <c r="H28" s="406"/>
      <c r="I28" s="406"/>
      <c r="J28" s="405"/>
      <c r="K28" s="405"/>
      <c r="L28" s="405"/>
      <c r="M28" s="405"/>
      <c r="N28" s="407"/>
    </row>
    <row r="29" spans="1:20" ht="13.5" customHeight="1" x14ac:dyDescent="0.25">
      <c r="A29" s="142"/>
      <c r="B29" s="143"/>
      <c r="C29" s="405"/>
      <c r="D29" s="405"/>
      <c r="E29" s="405"/>
      <c r="F29" s="405"/>
      <c r="G29" s="405"/>
      <c r="H29" s="406"/>
      <c r="I29" s="406"/>
      <c r="J29" s="405"/>
      <c r="K29" s="405"/>
      <c r="L29" s="405"/>
      <c r="M29" s="405"/>
      <c r="N29" s="407"/>
    </row>
    <row r="30" spans="1:20" ht="13.5" customHeight="1" x14ac:dyDescent="0.25">
      <c r="A30" s="142"/>
      <c r="B30" s="143"/>
      <c r="C30" s="405"/>
      <c r="D30" s="405"/>
      <c r="E30" s="405"/>
      <c r="F30" s="405"/>
      <c r="G30" s="405"/>
      <c r="H30" s="406"/>
      <c r="I30" s="406"/>
      <c r="J30" s="405"/>
      <c r="K30" s="405"/>
      <c r="L30" s="405"/>
      <c r="M30" s="405"/>
      <c r="N30" s="407"/>
    </row>
    <row r="31" spans="1:20" ht="13.5" customHeight="1" x14ac:dyDescent="0.25">
      <c r="A31" s="142"/>
      <c r="B31" s="143"/>
      <c r="C31" s="405"/>
      <c r="D31" s="405"/>
      <c r="E31" s="405"/>
      <c r="F31" s="405"/>
      <c r="G31" s="405"/>
      <c r="H31" s="406"/>
      <c r="I31" s="406"/>
      <c r="J31" s="405"/>
      <c r="K31" s="405"/>
      <c r="L31" s="405"/>
      <c r="M31" s="405"/>
      <c r="N31" s="407"/>
    </row>
    <row r="32" spans="1:20" ht="13.5" customHeight="1" x14ac:dyDescent="0.25">
      <c r="A32" s="142"/>
      <c r="B32" s="143"/>
      <c r="C32" s="405"/>
      <c r="D32" s="405"/>
      <c r="E32" s="405"/>
      <c r="F32" s="405"/>
      <c r="G32" s="405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05"/>
      <c r="D33" s="405"/>
      <c r="E33" s="405"/>
      <c r="F33" s="405"/>
      <c r="G33" s="405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05"/>
      <c r="D34" s="405"/>
      <c r="E34" s="405"/>
      <c r="F34" s="405"/>
      <c r="G34" s="405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05"/>
      <c r="D35" s="405"/>
      <c r="E35" s="405"/>
      <c r="F35" s="405"/>
      <c r="G35" s="405"/>
      <c r="H35" s="406"/>
      <c r="I35" s="406"/>
      <c r="J35" s="405"/>
      <c r="K35" s="405"/>
      <c r="L35" s="405"/>
      <c r="M35" s="405"/>
      <c r="N35" s="407"/>
    </row>
    <row r="36" spans="1:14" ht="13.5" customHeight="1" thickBot="1" x14ac:dyDescent="0.3">
      <c r="A36" s="144"/>
      <c r="B36" s="145"/>
      <c r="C36" s="408"/>
      <c r="D36" s="408"/>
      <c r="E36" s="408"/>
      <c r="F36" s="408"/>
      <c r="G36" s="408"/>
      <c r="H36" s="409"/>
      <c r="I36" s="409"/>
      <c r="J36" s="408"/>
      <c r="K36" s="408"/>
      <c r="L36" s="408"/>
      <c r="M36" s="408"/>
      <c r="N36" s="410"/>
    </row>
    <row r="37" spans="1:14" ht="13.5" customHeight="1" x14ac:dyDescent="0.25"/>
    <row r="38" spans="1:14" ht="13.5" customHeight="1" x14ac:dyDescent="0.25">
      <c r="I38" s="68"/>
      <c r="J38" s="68"/>
      <c r="K38" s="403" t="s">
        <v>263</v>
      </c>
      <c r="L38" s="403"/>
      <c r="M38" s="404">
        <f>SUM(M11:M36)</f>
        <v>0</v>
      </c>
      <c r="N38" s="404"/>
    </row>
  </sheetData>
  <mergeCells count="138">
    <mergeCell ref="G1:H1"/>
    <mergeCell ref="I1:J1"/>
    <mergeCell ref="K1:L1"/>
    <mergeCell ref="G2:H2"/>
    <mergeCell ref="I2:J2"/>
    <mergeCell ref="K2:L2"/>
    <mergeCell ref="M2:N2"/>
    <mergeCell ref="G3:H3"/>
    <mergeCell ref="I3:J3"/>
    <mergeCell ref="K3:L3"/>
    <mergeCell ref="M3:N3"/>
    <mergeCell ref="G4:H4"/>
    <mergeCell ref="I4:J4"/>
    <mergeCell ref="K4:L4"/>
    <mergeCell ref="M4:N4"/>
    <mergeCell ref="G5:H5"/>
    <mergeCell ref="I5:J5"/>
    <mergeCell ref="K5:L5"/>
    <mergeCell ref="M5:N5"/>
    <mergeCell ref="G6:H6"/>
    <mergeCell ref="I6:N6"/>
    <mergeCell ref="A7:B7"/>
    <mergeCell ref="C7:N7"/>
    <mergeCell ref="A8:N8"/>
    <mergeCell ref="C9:G9"/>
    <mergeCell ref="H9:I9"/>
    <mergeCell ref="J9:L9"/>
    <mergeCell ref="M9:N9"/>
    <mergeCell ref="C10:G10"/>
    <mergeCell ref="H10:I10"/>
    <mergeCell ref="J10:L10"/>
    <mergeCell ref="M10:N10"/>
    <mergeCell ref="C11:G11"/>
    <mergeCell ref="H11:I11"/>
    <mergeCell ref="J11:L11"/>
    <mergeCell ref="M11:N11"/>
    <mergeCell ref="C12:G12"/>
    <mergeCell ref="H12:I12"/>
    <mergeCell ref="J12:L12"/>
    <mergeCell ref="M12:N12"/>
    <mergeCell ref="C13:G13"/>
    <mergeCell ref="H13:I13"/>
    <mergeCell ref="J13:L13"/>
    <mergeCell ref="M13:N13"/>
    <mergeCell ref="C14:G14"/>
    <mergeCell ref="H14:I14"/>
    <mergeCell ref="J14:L14"/>
    <mergeCell ref="M14:N14"/>
    <mergeCell ref="C15:G15"/>
    <mergeCell ref="H15:I15"/>
    <mergeCell ref="J15:L15"/>
    <mergeCell ref="M15:N15"/>
    <mergeCell ref="C16:G16"/>
    <mergeCell ref="H16:I16"/>
    <mergeCell ref="J16:L16"/>
    <mergeCell ref="M16:N16"/>
    <mergeCell ref="C17:G17"/>
    <mergeCell ref="H17:I17"/>
    <mergeCell ref="J17:L17"/>
    <mergeCell ref="M17:N17"/>
    <mergeCell ref="C18:G18"/>
    <mergeCell ref="H18:I18"/>
    <mergeCell ref="J18:L18"/>
    <mergeCell ref="M18:N18"/>
    <mergeCell ref="C19:G19"/>
    <mergeCell ref="H19:I19"/>
    <mergeCell ref="J19:L19"/>
    <mergeCell ref="M19:N19"/>
    <mergeCell ref="C20:G20"/>
    <mergeCell ref="H20:I20"/>
    <mergeCell ref="J20:L20"/>
    <mergeCell ref="M20:N20"/>
    <mergeCell ref="C21:G21"/>
    <mergeCell ref="H21:I21"/>
    <mergeCell ref="J21:L21"/>
    <mergeCell ref="M21:N21"/>
    <mergeCell ref="C22:G22"/>
    <mergeCell ref="H22:I22"/>
    <mergeCell ref="J22:L22"/>
    <mergeCell ref="M22:N22"/>
    <mergeCell ref="C23:G23"/>
    <mergeCell ref="H23:I23"/>
    <mergeCell ref="J23:L23"/>
    <mergeCell ref="M23:N23"/>
    <mergeCell ref="C24:G24"/>
    <mergeCell ref="H24:I24"/>
    <mergeCell ref="J24:L24"/>
    <mergeCell ref="M24:N24"/>
    <mergeCell ref="C25:G25"/>
    <mergeCell ref="H25:I25"/>
    <mergeCell ref="J25:L25"/>
    <mergeCell ref="M25:N25"/>
    <mergeCell ref="C26:G26"/>
    <mergeCell ref="H26:I26"/>
    <mergeCell ref="J26:L26"/>
    <mergeCell ref="M26:N26"/>
    <mergeCell ref="C27:G27"/>
    <mergeCell ref="H27:I27"/>
    <mergeCell ref="J27:L27"/>
    <mergeCell ref="M27:N27"/>
    <mergeCell ref="C28:G28"/>
    <mergeCell ref="H28:I28"/>
    <mergeCell ref="J28:L28"/>
    <mergeCell ref="M28:N28"/>
    <mergeCell ref="C29:G29"/>
    <mergeCell ref="H29:I29"/>
    <mergeCell ref="J29:L29"/>
    <mergeCell ref="M29:N29"/>
    <mergeCell ref="J33:L33"/>
    <mergeCell ref="M33:N33"/>
    <mergeCell ref="C30:G30"/>
    <mergeCell ref="H30:I30"/>
    <mergeCell ref="J30:L30"/>
    <mergeCell ref="M30:N30"/>
    <mergeCell ref="C31:G31"/>
    <mergeCell ref="H31:I31"/>
    <mergeCell ref="J31:L31"/>
    <mergeCell ref="M31:N31"/>
    <mergeCell ref="C34:G34"/>
    <mergeCell ref="H34:I34"/>
    <mergeCell ref="J34:L34"/>
    <mergeCell ref="M34:N34"/>
    <mergeCell ref="C32:G32"/>
    <mergeCell ref="H32:I32"/>
    <mergeCell ref="J32:L32"/>
    <mergeCell ref="M32:N32"/>
    <mergeCell ref="C33:G33"/>
    <mergeCell ref="H33:I33"/>
    <mergeCell ref="K38:L38"/>
    <mergeCell ref="M38:N38"/>
    <mergeCell ref="C35:G35"/>
    <mergeCell ref="H35:I35"/>
    <mergeCell ref="J35:L35"/>
    <mergeCell ref="M35:N35"/>
    <mergeCell ref="C36:G36"/>
    <mergeCell ref="H36:I36"/>
    <mergeCell ref="J36:L36"/>
    <mergeCell ref="M36:N36"/>
  </mergeCells>
  <dataValidations count="3">
    <dataValidation type="list" errorStyle="warning" allowBlank="1" showInputMessage="1" showErrorMessage="1" errorTitle="Unlisted" error="You have entered an unlisted item.  Please make sure the item entered is correct." sqref="C11:C36" xr:uid="{9B06C868-0B7D-45D7-BE7D-B2039211D194}">
      <formula1>Screws</formula1>
    </dataValidation>
    <dataValidation type="list" errorStyle="warning" allowBlank="1" showInputMessage="1" showErrorMessage="1" errorTitle="Unlisted" error="You have entered an unlisted item.  Please make sure the item entered is correct." sqref="H11:I36" xr:uid="{39AC7CFC-FDC2-4793-9A50-D4B91368BB7B}">
      <formula1>ScrewColors</formula1>
    </dataValidation>
    <dataValidation errorStyle="warning" allowBlank="1" showInputMessage="1" showErrorMessage="1" errorTitle="Unlisted" error="You have entered an unlisted item.  Please make sure the item entered is correct." sqref="B11:B36" xr:uid="{E8488870-CEFC-4F68-8655-B1842CFE706E}"/>
  </dataValidations>
  <pageMargins left="0.25" right="0.25" top="0.25" bottom="0.25" header="0.5" footer="0.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60AB-FCB8-4FB2-B95A-F0202FCD43D1}">
  <sheetPr codeName="Sheet107"/>
  <dimension ref="A1:P39"/>
  <sheetViews>
    <sheetView workbookViewId="0">
      <selection activeCell="I42" sqref="I4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832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22" t="s">
        <v>240</v>
      </c>
      <c r="C9" s="459"/>
      <c r="D9" s="459"/>
      <c r="E9" s="459"/>
      <c r="F9" s="459"/>
      <c r="G9" s="459"/>
      <c r="H9" s="459"/>
      <c r="I9" s="459"/>
      <c r="J9" s="460"/>
      <c r="K9" s="416" t="s">
        <v>241</v>
      </c>
      <c r="L9" s="417"/>
      <c r="M9" s="423" t="s">
        <v>327</v>
      </c>
      <c r="N9" s="424"/>
    </row>
    <row r="10" spans="1:16" ht="13.5" customHeight="1" x14ac:dyDescent="0.25">
      <c r="A10" s="72"/>
      <c r="B10" s="461"/>
      <c r="C10" s="462"/>
      <c r="D10" s="463"/>
      <c r="E10" s="463"/>
      <c r="F10" s="463"/>
      <c r="G10" s="463"/>
      <c r="H10" s="463"/>
      <c r="I10" s="463"/>
      <c r="J10" s="464"/>
      <c r="K10" s="455"/>
      <c r="L10" s="456"/>
      <c r="M10" s="457"/>
      <c r="N10" s="458"/>
    </row>
    <row r="11" spans="1:16" ht="13.5" customHeight="1" x14ac:dyDescent="0.25">
      <c r="A11" s="230"/>
      <c r="B11" s="444" t="s">
        <v>833</v>
      </c>
      <c r="C11" s="465"/>
      <c r="D11" s="445"/>
      <c r="E11" s="445"/>
      <c r="F11" s="445"/>
      <c r="G11" s="445"/>
      <c r="H11" s="445"/>
      <c r="I11" s="445"/>
      <c r="J11" s="446"/>
      <c r="K11" s="442"/>
      <c r="L11" s="443"/>
      <c r="M11" s="440"/>
      <c r="N11" s="441"/>
    </row>
    <row r="12" spans="1:16" ht="12.75" customHeight="1" x14ac:dyDescent="0.25">
      <c r="A12" s="142"/>
      <c r="B12" s="229"/>
      <c r="C12" s="444" t="s">
        <v>834</v>
      </c>
      <c r="D12" s="445"/>
      <c r="E12" s="445"/>
      <c r="F12" s="445"/>
      <c r="G12" s="445"/>
      <c r="H12" s="445"/>
      <c r="I12" s="445"/>
      <c r="J12" s="446"/>
      <c r="K12" s="442"/>
      <c r="L12" s="443"/>
      <c r="M12" s="440"/>
      <c r="N12" s="441"/>
    </row>
    <row r="13" spans="1:16" ht="16.5" customHeight="1" x14ac:dyDescent="0.25">
      <c r="A13" s="142"/>
      <c r="B13" s="229"/>
      <c r="C13" s="444" t="s">
        <v>835</v>
      </c>
      <c r="D13" s="445"/>
      <c r="E13" s="445"/>
      <c r="F13" s="445"/>
      <c r="G13" s="445"/>
      <c r="H13" s="445"/>
      <c r="I13" s="445"/>
      <c r="J13" s="446"/>
      <c r="K13" s="442"/>
      <c r="L13" s="443"/>
      <c r="M13" s="440"/>
      <c r="N13" s="441"/>
    </row>
    <row r="14" spans="1:16" ht="15.75" customHeight="1" x14ac:dyDescent="0.25">
      <c r="A14" s="142"/>
      <c r="B14" s="447"/>
      <c r="C14" s="440"/>
      <c r="D14" s="448"/>
      <c r="E14" s="448"/>
      <c r="F14" s="448"/>
      <c r="G14" s="448"/>
      <c r="H14" s="448"/>
      <c r="I14" s="448"/>
      <c r="J14" s="449"/>
      <c r="K14" s="442"/>
      <c r="L14" s="443"/>
      <c r="M14" s="440"/>
      <c r="N14" s="441"/>
    </row>
    <row r="15" spans="1:16" x14ac:dyDescent="0.25">
      <c r="A15" s="230"/>
      <c r="B15" s="444" t="s">
        <v>836</v>
      </c>
      <c r="C15" s="465"/>
      <c r="D15" s="445"/>
      <c r="E15" s="445"/>
      <c r="F15" s="445"/>
      <c r="G15" s="445"/>
      <c r="H15" s="445"/>
      <c r="I15" s="445"/>
      <c r="J15" s="446"/>
      <c r="K15" s="442"/>
      <c r="L15" s="443"/>
      <c r="M15" s="440"/>
      <c r="N15" s="441"/>
    </row>
    <row r="16" spans="1:16" ht="15.75" customHeight="1" x14ac:dyDescent="0.25">
      <c r="A16" s="142"/>
      <c r="B16" s="229"/>
      <c r="C16" s="444" t="s">
        <v>835</v>
      </c>
      <c r="D16" s="445"/>
      <c r="E16" s="445"/>
      <c r="F16" s="445"/>
      <c r="G16" s="445"/>
      <c r="H16" s="445"/>
      <c r="I16" s="445"/>
      <c r="J16" s="446"/>
      <c r="K16" s="442"/>
      <c r="L16" s="443"/>
      <c r="M16" s="440"/>
      <c r="N16" s="441"/>
    </row>
    <row r="17" spans="1:14" x14ac:dyDescent="0.25">
      <c r="A17" s="142"/>
      <c r="B17" s="229"/>
      <c r="C17" s="444" t="s">
        <v>837</v>
      </c>
      <c r="D17" s="445"/>
      <c r="E17" s="445"/>
      <c r="F17" s="445"/>
      <c r="G17" s="445"/>
      <c r="H17" s="445"/>
      <c r="I17" s="445"/>
      <c r="J17" s="446"/>
      <c r="K17" s="442"/>
      <c r="L17" s="443"/>
      <c r="M17" s="440"/>
      <c r="N17" s="441"/>
    </row>
    <row r="18" spans="1:14" x14ac:dyDescent="0.25">
      <c r="A18" s="142"/>
      <c r="B18" s="229"/>
      <c r="C18" s="444" t="s">
        <v>838</v>
      </c>
      <c r="D18" s="445"/>
      <c r="E18" s="445"/>
      <c r="F18" s="445"/>
      <c r="G18" s="445"/>
      <c r="H18" s="445"/>
      <c r="I18" s="445"/>
      <c r="J18" s="446"/>
      <c r="K18" s="442"/>
      <c r="L18" s="443"/>
      <c r="M18" s="440"/>
      <c r="N18" s="441"/>
    </row>
    <row r="19" spans="1:14" x14ac:dyDescent="0.25">
      <c r="A19" s="142"/>
      <c r="B19" s="447"/>
      <c r="C19" s="440"/>
      <c r="D19" s="448"/>
      <c r="E19" s="448"/>
      <c r="F19" s="448"/>
      <c r="G19" s="448"/>
      <c r="H19" s="448"/>
      <c r="I19" s="448"/>
      <c r="J19" s="449"/>
      <c r="K19" s="442"/>
      <c r="L19" s="443"/>
      <c r="M19" s="440"/>
      <c r="N19" s="441"/>
    </row>
    <row r="20" spans="1:14" x14ac:dyDescent="0.25">
      <c r="A20" s="142"/>
      <c r="B20" s="447"/>
      <c r="C20" s="440"/>
      <c r="D20" s="448"/>
      <c r="E20" s="448"/>
      <c r="F20" s="448"/>
      <c r="G20" s="448"/>
      <c r="H20" s="448"/>
      <c r="I20" s="448"/>
      <c r="J20" s="449"/>
      <c r="K20" s="442"/>
      <c r="L20" s="443"/>
      <c r="M20" s="440"/>
      <c r="N20" s="441"/>
    </row>
    <row r="21" spans="1:14" s="2" customFormat="1" x14ac:dyDescent="0.25">
      <c r="A21" s="230"/>
      <c r="B21" s="444" t="s">
        <v>833</v>
      </c>
      <c r="C21" s="465"/>
      <c r="D21" s="445"/>
      <c r="E21" s="445"/>
      <c r="F21" s="445"/>
      <c r="G21" s="445"/>
      <c r="H21" s="445"/>
      <c r="I21" s="445"/>
      <c r="J21" s="446"/>
      <c r="K21" s="442"/>
      <c r="L21" s="443"/>
      <c r="M21" s="440"/>
      <c r="N21" s="441"/>
    </row>
    <row r="22" spans="1:14" x14ac:dyDescent="0.25">
      <c r="A22" s="142"/>
      <c r="B22" s="229"/>
      <c r="C22" s="444" t="s">
        <v>834</v>
      </c>
      <c r="D22" s="445"/>
      <c r="E22" s="445"/>
      <c r="F22" s="445"/>
      <c r="G22" s="445"/>
      <c r="H22" s="445"/>
      <c r="I22" s="445"/>
      <c r="J22" s="446"/>
      <c r="K22" s="442"/>
      <c r="L22" s="443"/>
      <c r="M22" s="440"/>
      <c r="N22" s="441"/>
    </row>
    <row r="23" spans="1:14" x14ac:dyDescent="0.25">
      <c r="A23" s="142"/>
      <c r="B23" s="229"/>
      <c r="C23" s="444" t="s">
        <v>835</v>
      </c>
      <c r="D23" s="445"/>
      <c r="E23" s="445"/>
      <c r="F23" s="445"/>
      <c r="G23" s="445"/>
      <c r="H23" s="445"/>
      <c r="I23" s="445"/>
      <c r="J23" s="446"/>
      <c r="K23" s="442"/>
      <c r="L23" s="443"/>
      <c r="M23" s="440"/>
      <c r="N23" s="441"/>
    </row>
    <row r="24" spans="1:14" x14ac:dyDescent="0.25">
      <c r="A24" s="142"/>
      <c r="B24" s="447"/>
      <c r="C24" s="440"/>
      <c r="D24" s="448"/>
      <c r="E24" s="448"/>
      <c r="F24" s="448"/>
      <c r="G24" s="448"/>
      <c r="H24" s="448"/>
      <c r="I24" s="448"/>
      <c r="J24" s="449"/>
      <c r="K24" s="442"/>
      <c r="L24" s="443"/>
      <c r="M24" s="440"/>
      <c r="N24" s="441"/>
    </row>
    <row r="25" spans="1:14" x14ac:dyDescent="0.25">
      <c r="A25" s="230"/>
      <c r="B25" s="444" t="s">
        <v>836</v>
      </c>
      <c r="C25" s="465"/>
      <c r="D25" s="445"/>
      <c r="E25" s="445"/>
      <c r="F25" s="445"/>
      <c r="G25" s="445"/>
      <c r="H25" s="445"/>
      <c r="I25" s="445"/>
      <c r="J25" s="446"/>
      <c r="K25" s="442"/>
      <c r="L25" s="443"/>
      <c r="M25" s="440"/>
      <c r="N25" s="441"/>
    </row>
    <row r="26" spans="1:14" x14ac:dyDescent="0.25">
      <c r="A26" s="142"/>
      <c r="B26" s="229"/>
      <c r="C26" s="444" t="s">
        <v>835</v>
      </c>
      <c r="D26" s="445"/>
      <c r="E26" s="445"/>
      <c r="F26" s="445"/>
      <c r="G26" s="445"/>
      <c r="H26" s="445"/>
      <c r="I26" s="445"/>
      <c r="J26" s="446"/>
      <c r="K26" s="442"/>
      <c r="L26" s="443"/>
      <c r="M26" s="440"/>
      <c r="N26" s="441"/>
    </row>
    <row r="27" spans="1:14" x14ac:dyDescent="0.25">
      <c r="A27" s="142"/>
      <c r="B27" s="229"/>
      <c r="C27" s="444" t="s">
        <v>837</v>
      </c>
      <c r="D27" s="445"/>
      <c r="E27" s="445"/>
      <c r="F27" s="445"/>
      <c r="G27" s="445"/>
      <c r="H27" s="445"/>
      <c r="I27" s="445"/>
      <c r="J27" s="446"/>
      <c r="K27" s="442"/>
      <c r="L27" s="443"/>
      <c r="M27" s="440"/>
      <c r="N27" s="441"/>
    </row>
    <row r="28" spans="1:14" x14ac:dyDescent="0.25">
      <c r="A28" s="142"/>
      <c r="B28" s="229"/>
      <c r="C28" s="444" t="s">
        <v>838</v>
      </c>
      <c r="D28" s="445"/>
      <c r="E28" s="445"/>
      <c r="F28" s="445"/>
      <c r="G28" s="445"/>
      <c r="H28" s="445"/>
      <c r="I28" s="445"/>
      <c r="J28" s="446"/>
      <c r="K28" s="442"/>
      <c r="L28" s="443"/>
      <c r="M28" s="440"/>
      <c r="N28" s="441"/>
    </row>
    <row r="29" spans="1:14" x14ac:dyDescent="0.25">
      <c r="A29" s="142"/>
      <c r="B29" s="447"/>
      <c r="C29" s="440"/>
      <c r="D29" s="448"/>
      <c r="E29" s="448"/>
      <c r="F29" s="448"/>
      <c r="G29" s="448"/>
      <c r="H29" s="448"/>
      <c r="I29" s="448"/>
      <c r="J29" s="449"/>
      <c r="K29" s="442"/>
      <c r="L29" s="443"/>
      <c r="M29" s="440"/>
      <c r="N29" s="441"/>
    </row>
    <row r="30" spans="1:14" x14ac:dyDescent="0.25">
      <c r="A30" s="142"/>
      <c r="B30" s="447"/>
      <c r="C30" s="440"/>
      <c r="D30" s="448"/>
      <c r="E30" s="448"/>
      <c r="F30" s="448"/>
      <c r="G30" s="448"/>
      <c r="H30" s="448"/>
      <c r="I30" s="448"/>
      <c r="J30" s="449"/>
      <c r="K30" s="442"/>
      <c r="L30" s="443"/>
      <c r="M30" s="440"/>
      <c r="N30" s="441"/>
    </row>
    <row r="31" spans="1:14" x14ac:dyDescent="0.25">
      <c r="A31" s="142"/>
      <c r="B31" s="447"/>
      <c r="C31" s="440"/>
      <c r="D31" s="448"/>
      <c r="E31" s="448"/>
      <c r="F31" s="448"/>
      <c r="G31" s="448"/>
      <c r="H31" s="448"/>
      <c r="I31" s="448"/>
      <c r="J31" s="449"/>
      <c r="K31" s="442"/>
      <c r="L31" s="443"/>
      <c r="M31" s="440"/>
      <c r="N31" s="441"/>
    </row>
    <row r="32" spans="1:14" x14ac:dyDescent="0.25">
      <c r="A32" s="142"/>
      <c r="B32" s="447"/>
      <c r="C32" s="440"/>
      <c r="D32" s="448"/>
      <c r="E32" s="448"/>
      <c r="F32" s="448"/>
      <c r="G32" s="448"/>
      <c r="H32" s="448"/>
      <c r="I32" s="448"/>
      <c r="J32" s="449"/>
      <c r="K32" s="442"/>
      <c r="L32" s="443"/>
      <c r="M32" s="440"/>
      <c r="N32" s="441"/>
    </row>
    <row r="33" spans="1:14" x14ac:dyDescent="0.25">
      <c r="A33" s="142"/>
      <c r="B33" s="447"/>
      <c r="C33" s="440"/>
      <c r="D33" s="448"/>
      <c r="E33" s="448"/>
      <c r="F33" s="448"/>
      <c r="G33" s="448"/>
      <c r="H33" s="448"/>
      <c r="I33" s="448"/>
      <c r="J33" s="449"/>
      <c r="K33" s="442"/>
      <c r="L33" s="443"/>
      <c r="M33" s="440"/>
      <c r="N33" s="441"/>
    </row>
    <row r="34" spans="1:14" x14ac:dyDescent="0.25">
      <c r="A34" s="142"/>
      <c r="B34" s="447"/>
      <c r="C34" s="440"/>
      <c r="D34" s="448"/>
      <c r="E34" s="448"/>
      <c r="F34" s="448"/>
      <c r="G34" s="448"/>
      <c r="H34" s="448"/>
      <c r="I34" s="448"/>
      <c r="J34" s="449"/>
      <c r="K34" s="442"/>
      <c r="L34" s="443"/>
      <c r="M34" s="440"/>
      <c r="N34" s="441"/>
    </row>
    <row r="35" spans="1:14" x14ac:dyDescent="0.25">
      <c r="A35" s="142"/>
      <c r="B35" s="447"/>
      <c r="C35" s="440"/>
      <c r="D35" s="448"/>
      <c r="E35" s="448"/>
      <c r="F35" s="448"/>
      <c r="G35" s="448"/>
      <c r="H35" s="448"/>
      <c r="I35" s="448"/>
      <c r="J35" s="449"/>
      <c r="K35" s="442"/>
      <c r="L35" s="443"/>
      <c r="M35" s="440"/>
      <c r="N35" s="441"/>
    </row>
    <row r="36" spans="1:14" x14ac:dyDescent="0.25">
      <c r="A36" s="142"/>
      <c r="B36" s="447"/>
      <c r="C36" s="440"/>
      <c r="D36" s="448"/>
      <c r="E36" s="448"/>
      <c r="F36" s="448"/>
      <c r="G36" s="448"/>
      <c r="H36" s="448"/>
      <c r="I36" s="448"/>
      <c r="J36" s="449"/>
      <c r="K36" s="442"/>
      <c r="L36" s="443"/>
      <c r="M36" s="440"/>
      <c r="N36" s="441"/>
    </row>
    <row r="37" spans="1:14" ht="13.8" thickBot="1" x14ac:dyDescent="0.3">
      <c r="A37" s="144"/>
      <c r="B37" s="466"/>
      <c r="C37" s="453"/>
      <c r="D37" s="467"/>
      <c r="E37" s="467"/>
      <c r="F37" s="467"/>
      <c r="G37" s="467"/>
      <c r="H37" s="467"/>
      <c r="I37" s="467"/>
      <c r="J37" s="468"/>
      <c r="K37" s="450"/>
      <c r="L37" s="451"/>
      <c r="M37" s="453"/>
      <c r="N37" s="454"/>
    </row>
    <row r="39" spans="1:14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13">
    <mergeCell ref="B36:J36"/>
    <mergeCell ref="B37:J37"/>
    <mergeCell ref="B32:J32"/>
    <mergeCell ref="B33:J33"/>
    <mergeCell ref="B34:J34"/>
    <mergeCell ref="B35:J35"/>
    <mergeCell ref="B25:J25"/>
    <mergeCell ref="C13:J13"/>
    <mergeCell ref="B14:J14"/>
    <mergeCell ref="B15:J15"/>
    <mergeCell ref="C16:J16"/>
    <mergeCell ref="B21:J21"/>
    <mergeCell ref="B20:J20"/>
    <mergeCell ref="C22:J22"/>
    <mergeCell ref="C23:J23"/>
    <mergeCell ref="B24:J24"/>
    <mergeCell ref="G6:H6"/>
    <mergeCell ref="G3:H3"/>
    <mergeCell ref="I6:N6"/>
    <mergeCell ref="G4:H4"/>
    <mergeCell ref="I3:J3"/>
    <mergeCell ref="M3:N3"/>
    <mergeCell ref="G5:H5"/>
    <mergeCell ref="I5:J5"/>
    <mergeCell ref="K5:L5"/>
    <mergeCell ref="I4:J4"/>
    <mergeCell ref="K1:L1"/>
    <mergeCell ref="I2:J2"/>
    <mergeCell ref="K2:L2"/>
    <mergeCell ref="G1:H1"/>
    <mergeCell ref="I1:J1"/>
    <mergeCell ref="G2:H2"/>
    <mergeCell ref="K12:L12"/>
    <mergeCell ref="K9:L9"/>
    <mergeCell ref="M9:N9"/>
    <mergeCell ref="C7:N7"/>
    <mergeCell ref="B9:J9"/>
    <mergeCell ref="B10:J10"/>
    <mergeCell ref="B11:J11"/>
    <mergeCell ref="C12:J12"/>
    <mergeCell ref="A7:B7"/>
    <mergeCell ref="A8:N8"/>
    <mergeCell ref="K13:L13"/>
    <mergeCell ref="M2:N2"/>
    <mergeCell ref="M12:N12"/>
    <mergeCell ref="M4:N4"/>
    <mergeCell ref="M13:N13"/>
    <mergeCell ref="M5:N5"/>
    <mergeCell ref="M11:N11"/>
    <mergeCell ref="K10:L10"/>
    <mergeCell ref="M10:N10"/>
    <mergeCell ref="K11:L11"/>
    <mergeCell ref="K4:L4"/>
    <mergeCell ref="K3:L3"/>
    <mergeCell ref="M14:N14"/>
    <mergeCell ref="M22:N22"/>
    <mergeCell ref="K22:L22"/>
    <mergeCell ref="K21:L21"/>
    <mergeCell ref="M21:N21"/>
    <mergeCell ref="K17:L17"/>
    <mergeCell ref="K16:L16"/>
    <mergeCell ref="K15:L15"/>
    <mergeCell ref="K14:L14"/>
    <mergeCell ref="M15:N15"/>
    <mergeCell ref="C18:J18"/>
    <mergeCell ref="B19:J19"/>
    <mergeCell ref="M16:N16"/>
    <mergeCell ref="M18:N18"/>
    <mergeCell ref="M17:N17"/>
    <mergeCell ref="C17:J17"/>
    <mergeCell ref="K18:L18"/>
    <mergeCell ref="M24:N24"/>
    <mergeCell ref="K19:L19"/>
    <mergeCell ref="M20:N20"/>
    <mergeCell ref="K25:L25"/>
    <mergeCell ref="M25:N25"/>
    <mergeCell ref="K23:L23"/>
    <mergeCell ref="M23:N23"/>
    <mergeCell ref="K20:L20"/>
    <mergeCell ref="M19:N19"/>
    <mergeCell ref="K24:L24"/>
    <mergeCell ref="C28:J28"/>
    <mergeCell ref="K31:L31"/>
    <mergeCell ref="K32:L32"/>
    <mergeCell ref="K28:L28"/>
    <mergeCell ref="B31:J31"/>
    <mergeCell ref="B30:J30"/>
    <mergeCell ref="K39:L39"/>
    <mergeCell ref="K37:L37"/>
    <mergeCell ref="K36:L36"/>
    <mergeCell ref="M31:N31"/>
    <mergeCell ref="M39:N39"/>
    <mergeCell ref="M35:N35"/>
    <mergeCell ref="M36:N36"/>
    <mergeCell ref="M37:N37"/>
    <mergeCell ref="K35:L35"/>
    <mergeCell ref="M33:N33"/>
    <mergeCell ref="C26:J26"/>
    <mergeCell ref="C27:J27"/>
    <mergeCell ref="M29:N29"/>
    <mergeCell ref="M26:N26"/>
    <mergeCell ref="K27:L27"/>
    <mergeCell ref="M27:N27"/>
    <mergeCell ref="K26:L26"/>
    <mergeCell ref="M28:N28"/>
    <mergeCell ref="K29:L29"/>
    <mergeCell ref="B29:J29"/>
    <mergeCell ref="M32:N32"/>
    <mergeCell ref="M34:N34"/>
    <mergeCell ref="K34:L34"/>
    <mergeCell ref="K30:L30"/>
    <mergeCell ref="M30:N30"/>
    <mergeCell ref="K33:L33"/>
  </mergeCells>
  <phoneticPr fontId="0" type="noConversion"/>
  <pageMargins left="0.25" right="0.25" top="0.25" bottom="0.25" header="0.5" footer="0.5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8DC0-A600-470A-8483-4A198DE5B7C0}">
  <sheetPr codeName="Sheet97"/>
  <dimension ref="A1:P39"/>
  <sheetViews>
    <sheetView workbookViewId="0">
      <selection activeCell="M28" sqref="M28:N28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1664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3"/>
      <c r="F9" s="423"/>
      <c r="G9" s="424"/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413"/>
      <c r="G10" s="413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143"/>
      <c r="C11" s="447"/>
      <c r="D11" s="440"/>
      <c r="E11" s="440"/>
      <c r="F11" s="440"/>
      <c r="G11" s="469"/>
      <c r="H11" s="406"/>
      <c r="I11" s="406"/>
      <c r="J11" s="405"/>
      <c r="K11" s="405"/>
      <c r="L11" s="405"/>
      <c r="M11" s="405"/>
      <c r="N11" s="407"/>
    </row>
    <row r="12" spans="1:16" ht="13.5" customHeight="1" x14ac:dyDescent="0.25">
      <c r="A12" s="142"/>
      <c r="B12" s="143"/>
      <c r="C12" s="447"/>
      <c r="D12" s="440"/>
      <c r="E12" s="440"/>
      <c r="F12" s="440"/>
      <c r="G12" s="469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143"/>
      <c r="C13" s="447"/>
      <c r="D13" s="440"/>
      <c r="E13" s="440"/>
      <c r="F13" s="440"/>
      <c r="G13" s="469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47"/>
      <c r="D14" s="440"/>
      <c r="E14" s="440"/>
      <c r="F14" s="440"/>
      <c r="G14" s="469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47"/>
      <c r="D15" s="440"/>
      <c r="E15" s="440"/>
      <c r="F15" s="440"/>
      <c r="G15" s="469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47"/>
      <c r="D16" s="440"/>
      <c r="E16" s="440"/>
      <c r="F16" s="440"/>
      <c r="G16" s="469"/>
      <c r="H16" s="406"/>
      <c r="I16" s="406"/>
      <c r="J16" s="405"/>
      <c r="K16" s="405"/>
      <c r="L16" s="405"/>
      <c r="M16" s="405"/>
      <c r="N16" s="407"/>
    </row>
    <row r="17" spans="1:14" ht="13.5" customHeight="1" x14ac:dyDescent="0.25">
      <c r="A17" s="142"/>
      <c r="B17" s="143"/>
      <c r="C17" s="447"/>
      <c r="D17" s="440"/>
      <c r="E17" s="440"/>
      <c r="F17" s="440"/>
      <c r="G17" s="469"/>
      <c r="H17" s="406"/>
      <c r="I17" s="406"/>
      <c r="J17" s="405"/>
      <c r="K17" s="405"/>
      <c r="L17" s="405"/>
      <c r="M17" s="405"/>
      <c r="N17" s="407"/>
    </row>
    <row r="18" spans="1:14" ht="13.5" customHeight="1" x14ac:dyDescent="0.25">
      <c r="A18" s="142"/>
      <c r="B18" s="143"/>
      <c r="C18" s="447"/>
      <c r="D18" s="440"/>
      <c r="E18" s="440"/>
      <c r="F18" s="440"/>
      <c r="G18" s="469"/>
      <c r="H18" s="406"/>
      <c r="I18" s="406"/>
      <c r="J18" s="405"/>
      <c r="K18" s="405"/>
      <c r="L18" s="405"/>
      <c r="M18" s="405"/>
      <c r="N18" s="407"/>
    </row>
    <row r="19" spans="1:14" ht="13.5" customHeight="1" x14ac:dyDescent="0.25">
      <c r="A19" s="142"/>
      <c r="B19" s="143"/>
      <c r="C19" s="447"/>
      <c r="D19" s="440"/>
      <c r="E19" s="440"/>
      <c r="F19" s="440"/>
      <c r="G19" s="469"/>
      <c r="H19" s="406"/>
      <c r="I19" s="406"/>
      <c r="J19" s="405"/>
      <c r="K19" s="405"/>
      <c r="L19" s="405"/>
      <c r="M19" s="405"/>
      <c r="N19" s="407"/>
    </row>
    <row r="20" spans="1:14" ht="13.5" customHeight="1" x14ac:dyDescent="0.25">
      <c r="A20" s="142"/>
      <c r="B20" s="143"/>
      <c r="C20" s="447"/>
      <c r="D20" s="440"/>
      <c r="E20" s="440"/>
      <c r="F20" s="440"/>
      <c r="G20" s="469"/>
      <c r="H20" s="406"/>
      <c r="I20" s="4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143"/>
      <c r="C21" s="447"/>
      <c r="D21" s="440"/>
      <c r="E21" s="440"/>
      <c r="F21" s="440"/>
      <c r="G21" s="469"/>
      <c r="H21" s="406"/>
      <c r="I21" s="406"/>
      <c r="J21" s="405"/>
      <c r="K21" s="405"/>
      <c r="L21" s="405"/>
      <c r="M21" s="405"/>
      <c r="N21" s="407"/>
    </row>
    <row r="22" spans="1:14" ht="13.5" customHeight="1" x14ac:dyDescent="0.25">
      <c r="A22" s="142"/>
      <c r="B22" s="143"/>
      <c r="C22" s="447"/>
      <c r="D22" s="440"/>
      <c r="E22" s="440"/>
      <c r="F22" s="440"/>
      <c r="G22" s="469"/>
      <c r="H22" s="406"/>
      <c r="I22" s="406"/>
      <c r="J22" s="405"/>
      <c r="K22" s="405"/>
      <c r="L22" s="405"/>
      <c r="M22" s="405"/>
      <c r="N22" s="407"/>
    </row>
    <row r="23" spans="1:14" ht="13.5" customHeight="1" x14ac:dyDescent="0.25">
      <c r="A23" s="142"/>
      <c r="B23" s="143"/>
      <c r="C23" s="447"/>
      <c r="D23" s="440"/>
      <c r="E23" s="440"/>
      <c r="F23" s="440"/>
      <c r="G23" s="469"/>
      <c r="H23" s="406"/>
      <c r="I23" s="406"/>
      <c r="J23" s="405"/>
      <c r="K23" s="405"/>
      <c r="L23" s="405"/>
      <c r="M23" s="405"/>
      <c r="N23" s="407"/>
    </row>
    <row r="24" spans="1:14" ht="13.5" customHeight="1" x14ac:dyDescent="0.25">
      <c r="A24" s="142"/>
      <c r="B24" s="143"/>
      <c r="C24" s="447"/>
      <c r="D24" s="440"/>
      <c r="E24" s="440"/>
      <c r="F24" s="440"/>
      <c r="G24" s="469"/>
      <c r="H24" s="406"/>
      <c r="I24" s="406"/>
      <c r="J24" s="405"/>
      <c r="K24" s="405"/>
      <c r="L24" s="405"/>
      <c r="M24" s="405"/>
      <c r="N24" s="407"/>
    </row>
    <row r="25" spans="1:14" ht="13.5" customHeight="1" x14ac:dyDescent="0.25">
      <c r="A25" s="142"/>
      <c r="B25" s="143"/>
      <c r="C25" s="447"/>
      <c r="D25" s="440"/>
      <c r="E25" s="440"/>
      <c r="F25" s="440"/>
      <c r="G25" s="469"/>
      <c r="H25" s="406"/>
      <c r="I25" s="406"/>
      <c r="J25" s="405"/>
      <c r="K25" s="405"/>
      <c r="L25" s="405"/>
      <c r="M25" s="405"/>
      <c r="N25" s="407"/>
    </row>
    <row r="26" spans="1:14" ht="13.5" customHeight="1" x14ac:dyDescent="0.25">
      <c r="A26" s="142"/>
      <c r="B26" s="143"/>
      <c r="C26" s="447"/>
      <c r="D26" s="440"/>
      <c r="E26" s="440"/>
      <c r="F26" s="440"/>
      <c r="G26" s="469"/>
      <c r="H26" s="406"/>
      <c r="I26" s="406"/>
      <c r="J26" s="405"/>
      <c r="K26" s="405"/>
      <c r="L26" s="405"/>
      <c r="M26" s="405"/>
      <c r="N26" s="407"/>
    </row>
    <row r="27" spans="1:14" ht="13.5" customHeight="1" x14ac:dyDescent="0.25">
      <c r="A27" s="142"/>
      <c r="B27" s="143"/>
      <c r="C27" s="447"/>
      <c r="D27" s="440"/>
      <c r="E27" s="440"/>
      <c r="F27" s="440"/>
      <c r="G27" s="469"/>
      <c r="H27" s="406"/>
      <c r="I27" s="406"/>
      <c r="J27" s="405"/>
      <c r="K27" s="405"/>
      <c r="L27" s="405"/>
      <c r="M27" s="405"/>
      <c r="N27" s="407"/>
    </row>
    <row r="28" spans="1:14" ht="13.5" customHeight="1" x14ac:dyDescent="0.25">
      <c r="A28" s="142"/>
      <c r="B28" s="143"/>
      <c r="C28" s="447"/>
      <c r="D28" s="440"/>
      <c r="E28" s="440"/>
      <c r="F28" s="440"/>
      <c r="G28" s="469"/>
      <c r="H28" s="406"/>
      <c r="I28" s="406"/>
      <c r="J28" s="405"/>
      <c r="K28" s="405"/>
      <c r="L28" s="405"/>
      <c r="M28" s="405"/>
      <c r="N28" s="407"/>
    </row>
    <row r="29" spans="1:14" ht="13.5" customHeight="1" x14ac:dyDescent="0.25">
      <c r="A29" s="142"/>
      <c r="B29" s="143"/>
      <c r="C29" s="447"/>
      <c r="D29" s="440"/>
      <c r="E29" s="440"/>
      <c r="F29" s="440"/>
      <c r="G29" s="469"/>
      <c r="H29" s="406"/>
      <c r="I29" s="406"/>
      <c r="J29" s="405"/>
      <c r="K29" s="405"/>
      <c r="L29" s="405"/>
      <c r="M29" s="405"/>
      <c r="N29" s="407"/>
    </row>
    <row r="30" spans="1:14" ht="13.5" customHeight="1" x14ac:dyDescent="0.25">
      <c r="A30" s="142"/>
      <c r="B30" s="143"/>
      <c r="C30" s="447"/>
      <c r="D30" s="440"/>
      <c r="E30" s="440"/>
      <c r="F30" s="440"/>
      <c r="G30" s="469"/>
      <c r="H30" s="406"/>
      <c r="I30" s="406"/>
      <c r="J30" s="405"/>
      <c r="K30" s="405"/>
      <c r="L30" s="405"/>
      <c r="M30" s="405"/>
      <c r="N30" s="407"/>
    </row>
    <row r="31" spans="1:14" ht="13.5" customHeight="1" x14ac:dyDescent="0.25">
      <c r="A31" s="142"/>
      <c r="B31" s="143"/>
      <c r="C31" s="447"/>
      <c r="D31" s="440"/>
      <c r="E31" s="440"/>
      <c r="F31" s="440"/>
      <c r="G31" s="469"/>
      <c r="H31" s="406"/>
      <c r="I31" s="406"/>
      <c r="J31" s="405"/>
      <c r="K31" s="405"/>
      <c r="L31" s="405"/>
      <c r="M31" s="405"/>
      <c r="N31" s="407"/>
    </row>
    <row r="32" spans="1:14" ht="13.5" customHeight="1" x14ac:dyDescent="0.25">
      <c r="A32" s="142"/>
      <c r="B32" s="143"/>
      <c r="C32" s="447"/>
      <c r="D32" s="440"/>
      <c r="E32" s="440"/>
      <c r="F32" s="440"/>
      <c r="G32" s="469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47"/>
      <c r="D33" s="440"/>
      <c r="E33" s="440"/>
      <c r="F33" s="440"/>
      <c r="G33" s="469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47"/>
      <c r="D34" s="440"/>
      <c r="E34" s="440"/>
      <c r="F34" s="440"/>
      <c r="G34" s="469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47"/>
      <c r="D35" s="440"/>
      <c r="E35" s="440"/>
      <c r="F35" s="440"/>
      <c r="G35" s="469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142"/>
      <c r="B36" s="143"/>
      <c r="C36" s="447"/>
      <c r="D36" s="440"/>
      <c r="E36" s="440"/>
      <c r="F36" s="440"/>
      <c r="G36" s="469"/>
      <c r="H36" s="406"/>
      <c r="I36" s="4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145"/>
      <c r="C37" s="466"/>
      <c r="D37" s="453"/>
      <c r="E37" s="453"/>
      <c r="F37" s="453"/>
      <c r="G37" s="470"/>
      <c r="H37" s="409"/>
      <c r="I37" s="4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42">
    <mergeCell ref="K39:L39"/>
    <mergeCell ref="M39:N39"/>
    <mergeCell ref="C36:G36"/>
    <mergeCell ref="H36:I36"/>
    <mergeCell ref="J36:L36"/>
    <mergeCell ref="M36:N36"/>
    <mergeCell ref="C37:G37"/>
    <mergeCell ref="H37:I37"/>
    <mergeCell ref="J37:L37"/>
    <mergeCell ref="M37:N37"/>
    <mergeCell ref="C34:G34"/>
    <mergeCell ref="H34:I34"/>
    <mergeCell ref="J34:L34"/>
    <mergeCell ref="M34:N34"/>
    <mergeCell ref="C35:G35"/>
    <mergeCell ref="H35:I35"/>
    <mergeCell ref="J35:L35"/>
    <mergeCell ref="M35:N35"/>
    <mergeCell ref="C32:G32"/>
    <mergeCell ref="H32:I32"/>
    <mergeCell ref="J32:L32"/>
    <mergeCell ref="M32:N32"/>
    <mergeCell ref="C33:G33"/>
    <mergeCell ref="H33:I33"/>
    <mergeCell ref="J33:L33"/>
    <mergeCell ref="M33:N33"/>
    <mergeCell ref="C30:G30"/>
    <mergeCell ref="H30:I30"/>
    <mergeCell ref="J30:L30"/>
    <mergeCell ref="M30:N30"/>
    <mergeCell ref="C31:G31"/>
    <mergeCell ref="H31:I31"/>
    <mergeCell ref="J31:L31"/>
    <mergeCell ref="M31:N31"/>
    <mergeCell ref="C28:G28"/>
    <mergeCell ref="H28:I28"/>
    <mergeCell ref="J28:L28"/>
    <mergeCell ref="M28:N28"/>
    <mergeCell ref="C29:G29"/>
    <mergeCell ref="H29:I29"/>
    <mergeCell ref="J29:L29"/>
    <mergeCell ref="M29:N29"/>
    <mergeCell ref="C26:G26"/>
    <mergeCell ref="H26:I26"/>
    <mergeCell ref="J26:L26"/>
    <mergeCell ref="M26:N26"/>
    <mergeCell ref="C27:G27"/>
    <mergeCell ref="H27:I27"/>
    <mergeCell ref="J27:L27"/>
    <mergeCell ref="M27:N27"/>
    <mergeCell ref="C24:G24"/>
    <mergeCell ref="H24:I24"/>
    <mergeCell ref="J24:L24"/>
    <mergeCell ref="M24:N24"/>
    <mergeCell ref="C25:G25"/>
    <mergeCell ref="H25:I25"/>
    <mergeCell ref="J25:L25"/>
    <mergeCell ref="M25:N25"/>
    <mergeCell ref="C22:G22"/>
    <mergeCell ref="H22:I22"/>
    <mergeCell ref="J22:L22"/>
    <mergeCell ref="M22:N22"/>
    <mergeCell ref="C23:G23"/>
    <mergeCell ref="H23:I23"/>
    <mergeCell ref="J23:L23"/>
    <mergeCell ref="M23:N23"/>
    <mergeCell ref="C20:G20"/>
    <mergeCell ref="H20:I20"/>
    <mergeCell ref="J20:L20"/>
    <mergeCell ref="M20:N20"/>
    <mergeCell ref="C21:G21"/>
    <mergeCell ref="H21:I21"/>
    <mergeCell ref="J21:L21"/>
    <mergeCell ref="M21:N21"/>
    <mergeCell ref="C18:G18"/>
    <mergeCell ref="H18:I18"/>
    <mergeCell ref="J18:L18"/>
    <mergeCell ref="M18:N18"/>
    <mergeCell ref="C19:G19"/>
    <mergeCell ref="H19:I19"/>
    <mergeCell ref="J19:L19"/>
    <mergeCell ref="M19:N19"/>
    <mergeCell ref="C16:G16"/>
    <mergeCell ref="H16:I16"/>
    <mergeCell ref="J16:L16"/>
    <mergeCell ref="M16:N16"/>
    <mergeCell ref="C17:G17"/>
    <mergeCell ref="H17:I17"/>
    <mergeCell ref="J17:L17"/>
    <mergeCell ref="M17:N17"/>
    <mergeCell ref="C14:G14"/>
    <mergeCell ref="H14:I14"/>
    <mergeCell ref="J14:L14"/>
    <mergeCell ref="M14:N14"/>
    <mergeCell ref="C15:G15"/>
    <mergeCell ref="H15:I15"/>
    <mergeCell ref="J15:L15"/>
    <mergeCell ref="M15:N15"/>
    <mergeCell ref="C12:G12"/>
    <mergeCell ref="H12:I12"/>
    <mergeCell ref="J12:L12"/>
    <mergeCell ref="M12:N12"/>
    <mergeCell ref="C13:G13"/>
    <mergeCell ref="H13:I13"/>
    <mergeCell ref="J13:L13"/>
    <mergeCell ref="M13:N13"/>
    <mergeCell ref="M11:N11"/>
    <mergeCell ref="C10:G10"/>
    <mergeCell ref="H10:I10"/>
    <mergeCell ref="J10:L10"/>
    <mergeCell ref="M10:N10"/>
    <mergeCell ref="C11:G11"/>
    <mergeCell ref="H11:I11"/>
    <mergeCell ref="J11:L11"/>
    <mergeCell ref="M5:N5"/>
    <mergeCell ref="C9:G9"/>
    <mergeCell ref="H9:I9"/>
    <mergeCell ref="J9:L9"/>
    <mergeCell ref="M9:N9"/>
    <mergeCell ref="G6:H6"/>
    <mergeCell ref="I6:N6"/>
    <mergeCell ref="A8:N8"/>
    <mergeCell ref="A7:B7"/>
    <mergeCell ref="C7:N7"/>
    <mergeCell ref="M4:N4"/>
    <mergeCell ref="M2:N2"/>
    <mergeCell ref="G3:H3"/>
    <mergeCell ref="I3:J3"/>
    <mergeCell ref="K3:L3"/>
    <mergeCell ref="M3:N3"/>
    <mergeCell ref="I4:J4"/>
    <mergeCell ref="K4:L4"/>
    <mergeCell ref="G1:H1"/>
    <mergeCell ref="I1:J1"/>
    <mergeCell ref="K1:L1"/>
    <mergeCell ref="G2:H2"/>
    <mergeCell ref="I2:J2"/>
    <mergeCell ref="G5:H5"/>
    <mergeCell ref="I5:J5"/>
    <mergeCell ref="K5:L5"/>
    <mergeCell ref="K2:L2"/>
    <mergeCell ref="G4:H4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2:I37" xr:uid="{6692A0A8-0E0B-4D8F-BE6B-BBD36A6A5AB2}">
      <formula1>MasticColor</formula1>
    </dataValidation>
    <dataValidation type="list" errorStyle="warning" allowBlank="1" showInputMessage="1" showErrorMessage="1" errorTitle="Unlisted" error="You have entered an unlisted item.  Please make sure the item entered is correct." sqref="H11:I11" xr:uid="{6BE01964-C2BE-4802-ABBB-B8523705D390}">
      <formula1>Colors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F445-0343-4E26-A149-9CC1647AEA22}">
  <sheetPr codeName="Sheet106"/>
  <dimension ref="A1:P39"/>
  <sheetViews>
    <sheetView workbookViewId="0">
      <selection activeCell="K3" sqref="K3:L3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1"/>
      <c r="B1" s="1"/>
      <c r="C1" s="1"/>
      <c r="D1" s="1"/>
      <c r="E1" s="1"/>
      <c r="F1" s="1"/>
      <c r="G1" s="471"/>
      <c r="H1" s="471"/>
      <c r="I1" s="471"/>
      <c r="J1" s="471"/>
      <c r="K1" s="471"/>
      <c r="L1" s="92"/>
      <c r="M1" s="93"/>
      <c r="N1" s="92"/>
    </row>
    <row r="2" spans="1:16" ht="19.5" customHeight="1" x14ac:dyDescent="0.25">
      <c r="A2" s="1"/>
      <c r="B2" s="1"/>
      <c r="C2" s="1"/>
      <c r="D2" s="1"/>
      <c r="E2" s="1"/>
      <c r="F2" s="1"/>
      <c r="G2" s="472"/>
      <c r="H2" s="473"/>
      <c r="I2" s="474"/>
      <c r="J2" s="474"/>
      <c r="K2" s="474"/>
      <c r="L2" s="474"/>
      <c r="M2" s="474"/>
      <c r="N2" s="474"/>
    </row>
    <row r="3" spans="1:16" ht="19.5" customHeight="1" x14ac:dyDescent="0.25">
      <c r="A3" s="1"/>
      <c r="B3" s="1"/>
      <c r="C3" s="1"/>
      <c r="D3" s="1"/>
      <c r="E3" s="1"/>
      <c r="F3" s="1"/>
      <c r="G3" s="94"/>
      <c r="H3" s="1"/>
      <c r="I3" s="475"/>
      <c r="J3" s="475"/>
      <c r="K3" s="476"/>
      <c r="L3" s="476"/>
      <c r="M3" s="477"/>
      <c r="N3" s="477"/>
      <c r="P3" s="36"/>
    </row>
    <row r="4" spans="1:16" ht="19.5" customHeight="1" x14ac:dyDescent="0.25">
      <c r="A4" s="1"/>
      <c r="B4" s="1"/>
      <c r="C4" s="1"/>
      <c r="D4" s="1"/>
      <c r="E4" s="1"/>
      <c r="F4" s="1"/>
      <c r="G4" s="478"/>
      <c r="H4" s="479"/>
      <c r="I4" s="95"/>
      <c r="J4" s="480"/>
      <c r="K4" s="480"/>
      <c r="L4" s="41"/>
      <c r="M4" s="96"/>
      <c r="N4" s="1"/>
    </row>
    <row r="5" spans="1:16" ht="19.5" customHeight="1" x14ac:dyDescent="0.25">
      <c r="A5" s="1"/>
      <c r="B5" s="1"/>
      <c r="C5" s="1"/>
      <c r="D5" s="1"/>
      <c r="E5" s="1"/>
      <c r="F5" s="1"/>
      <c r="G5" s="97"/>
      <c r="H5" s="61"/>
      <c r="I5" s="481"/>
      <c r="J5" s="481"/>
      <c r="K5" s="482"/>
      <c r="L5" s="482"/>
      <c r="M5" s="482"/>
      <c r="N5" s="482"/>
    </row>
    <row r="6" spans="1:16" ht="19.5" customHeight="1" x14ac:dyDescent="0.25">
      <c r="A6" s="1"/>
      <c r="B6" s="1"/>
      <c r="C6" s="1"/>
      <c r="D6" s="1"/>
      <c r="E6" s="1"/>
      <c r="F6" s="1"/>
      <c r="G6" s="94"/>
      <c r="H6" s="483"/>
      <c r="I6" s="483"/>
      <c r="J6" s="483"/>
      <c r="K6" s="484"/>
      <c r="L6" s="484"/>
      <c r="M6" s="476"/>
      <c r="N6" s="476"/>
    </row>
    <row r="7" spans="1:16" ht="19.5" customHeight="1" x14ac:dyDescent="0.25">
      <c r="A7" s="485"/>
      <c r="B7" s="485"/>
      <c r="C7" s="486"/>
      <c r="D7" s="486"/>
      <c r="E7" s="486"/>
      <c r="F7" s="486"/>
      <c r="G7" s="486"/>
      <c r="H7" s="486"/>
      <c r="I7" s="486"/>
      <c r="J7" s="487"/>
      <c r="K7" s="487"/>
      <c r="L7" s="98"/>
      <c r="M7" s="98"/>
      <c r="N7" s="1"/>
    </row>
    <row r="8" spans="1:16" ht="19.5" customHeight="1" x14ac:dyDescent="0.25">
      <c r="A8" s="485"/>
      <c r="B8" s="485"/>
      <c r="C8" s="485"/>
      <c r="D8" s="485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37"/>
      <c r="P8" s="37"/>
    </row>
    <row r="9" spans="1:16" ht="22.5" customHeight="1" x14ac:dyDescent="0.25">
      <c r="A9" s="91"/>
      <c r="B9" s="300"/>
      <c r="C9" s="300"/>
      <c r="D9" s="300"/>
      <c r="E9" s="300"/>
      <c r="F9" s="300"/>
      <c r="G9" s="300"/>
      <c r="H9" s="300"/>
      <c r="I9" s="489"/>
      <c r="J9" s="489"/>
      <c r="K9" s="489"/>
      <c r="L9" s="489"/>
      <c r="M9" s="489"/>
      <c r="N9" s="91"/>
    </row>
    <row r="10" spans="1:16" ht="13.5" customHeight="1" x14ac:dyDescent="0.25">
      <c r="A10" s="99"/>
      <c r="B10" s="488"/>
      <c r="C10" s="488"/>
      <c r="D10" s="488"/>
      <c r="E10" s="488"/>
      <c r="F10" s="488"/>
      <c r="G10" s="488"/>
      <c r="H10" s="488"/>
      <c r="I10" s="488"/>
      <c r="J10" s="488"/>
      <c r="K10" s="488"/>
      <c r="L10" s="488"/>
      <c r="M10" s="488"/>
      <c r="N10" s="100"/>
    </row>
    <row r="11" spans="1:16" ht="13.5" customHeight="1" x14ac:dyDescent="0.25">
      <c r="A11" s="99"/>
      <c r="B11" s="488"/>
      <c r="C11" s="488"/>
      <c r="D11" s="490"/>
      <c r="E11" s="490"/>
      <c r="F11" s="490"/>
      <c r="G11" s="490"/>
      <c r="H11" s="490"/>
      <c r="I11" s="490"/>
      <c r="J11" s="490"/>
      <c r="K11" s="490"/>
      <c r="L11" s="490"/>
      <c r="M11" s="490"/>
      <c r="N11" s="100"/>
    </row>
    <row r="12" spans="1:16" ht="12.75" customHeight="1" x14ac:dyDescent="0.25">
      <c r="A12" s="99"/>
      <c r="B12" s="488"/>
      <c r="C12" s="488"/>
      <c r="D12" s="490"/>
      <c r="E12" s="490"/>
      <c r="F12" s="490"/>
      <c r="G12" s="490"/>
      <c r="H12" s="490"/>
      <c r="I12" s="490"/>
      <c r="J12" s="490"/>
      <c r="K12" s="490"/>
      <c r="L12" s="490"/>
      <c r="M12" s="490"/>
      <c r="N12" s="100"/>
    </row>
    <row r="13" spans="1:16" ht="16.5" customHeight="1" x14ac:dyDescent="0.25">
      <c r="A13" s="99"/>
      <c r="B13" s="488"/>
      <c r="C13" s="488"/>
      <c r="D13" s="490"/>
      <c r="E13" s="490"/>
      <c r="F13" s="490"/>
      <c r="G13" s="490"/>
      <c r="H13" s="490"/>
      <c r="I13" s="490"/>
      <c r="J13" s="490"/>
      <c r="K13" s="490"/>
      <c r="L13" s="490"/>
      <c r="M13" s="490"/>
      <c r="N13" s="100"/>
    </row>
    <row r="14" spans="1:16" ht="15.75" customHeight="1" x14ac:dyDescent="0.25">
      <c r="A14" s="99"/>
      <c r="B14" s="488"/>
      <c r="C14" s="488"/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100"/>
    </row>
    <row r="15" spans="1:16" x14ac:dyDescent="0.25">
      <c r="A15" s="99"/>
      <c r="B15" s="488"/>
      <c r="C15" s="488"/>
      <c r="D15" s="490"/>
      <c r="E15" s="490"/>
      <c r="F15" s="490"/>
      <c r="G15" s="490"/>
      <c r="H15" s="490"/>
      <c r="I15" s="490"/>
      <c r="J15" s="490"/>
      <c r="K15" s="490"/>
      <c r="L15" s="490"/>
      <c r="M15" s="490"/>
      <c r="N15" s="100"/>
    </row>
    <row r="16" spans="1:16" ht="15.75" customHeight="1" x14ac:dyDescent="0.25">
      <c r="A16" s="99"/>
      <c r="B16" s="488"/>
      <c r="C16" s="488"/>
      <c r="D16" s="490"/>
      <c r="E16" s="490"/>
      <c r="F16" s="490"/>
      <c r="G16" s="490"/>
      <c r="H16" s="490"/>
      <c r="I16" s="490"/>
      <c r="J16" s="490"/>
      <c r="K16" s="490"/>
      <c r="L16" s="490"/>
      <c r="M16" s="490"/>
      <c r="N16" s="100"/>
    </row>
    <row r="17" spans="1:14" x14ac:dyDescent="0.25">
      <c r="A17" s="99"/>
      <c r="B17" s="488"/>
      <c r="C17" s="488"/>
      <c r="D17" s="490"/>
      <c r="E17" s="490"/>
      <c r="F17" s="490"/>
      <c r="G17" s="490"/>
      <c r="H17" s="490"/>
      <c r="I17" s="490"/>
      <c r="J17" s="490"/>
      <c r="K17" s="490"/>
      <c r="L17" s="490"/>
      <c r="M17" s="490"/>
      <c r="N17" s="100"/>
    </row>
    <row r="18" spans="1:14" x14ac:dyDescent="0.25">
      <c r="A18" s="99"/>
      <c r="B18" s="488"/>
      <c r="C18" s="488"/>
      <c r="D18" s="490"/>
      <c r="E18" s="490"/>
      <c r="F18" s="490"/>
      <c r="G18" s="490"/>
      <c r="H18" s="490"/>
      <c r="I18" s="490"/>
      <c r="J18" s="490"/>
      <c r="K18" s="490"/>
      <c r="L18" s="490"/>
      <c r="M18" s="490"/>
      <c r="N18" s="100"/>
    </row>
    <row r="19" spans="1:14" x14ac:dyDescent="0.25">
      <c r="A19" s="99"/>
      <c r="B19" s="488"/>
      <c r="C19" s="488"/>
      <c r="D19" s="490"/>
      <c r="E19" s="490"/>
      <c r="F19" s="490"/>
      <c r="G19" s="490"/>
      <c r="H19" s="490"/>
      <c r="I19" s="490"/>
      <c r="J19" s="490"/>
      <c r="K19" s="490"/>
      <c r="L19" s="490"/>
      <c r="M19" s="490"/>
      <c r="N19" s="100"/>
    </row>
    <row r="20" spans="1:14" x14ac:dyDescent="0.25">
      <c r="A20" s="99"/>
      <c r="B20" s="488"/>
      <c r="C20" s="488"/>
      <c r="D20" s="490"/>
      <c r="E20" s="490"/>
      <c r="F20" s="490"/>
      <c r="G20" s="490"/>
      <c r="H20" s="490"/>
      <c r="I20" s="490"/>
      <c r="J20" s="490"/>
      <c r="K20" s="490"/>
      <c r="L20" s="490"/>
      <c r="M20" s="490"/>
      <c r="N20" s="100"/>
    </row>
    <row r="21" spans="1:14" s="2" customFormat="1" x14ac:dyDescent="0.25">
      <c r="A21" s="99"/>
      <c r="B21" s="488"/>
      <c r="C21" s="488"/>
      <c r="D21" s="490"/>
      <c r="E21" s="490"/>
      <c r="F21" s="490"/>
      <c r="G21" s="490"/>
      <c r="H21" s="490"/>
      <c r="I21" s="490"/>
      <c r="J21" s="490"/>
      <c r="K21" s="490"/>
      <c r="L21" s="490"/>
      <c r="M21" s="490"/>
      <c r="N21" s="100"/>
    </row>
    <row r="22" spans="1:14" x14ac:dyDescent="0.25">
      <c r="A22" s="99"/>
      <c r="B22" s="488"/>
      <c r="C22" s="488"/>
      <c r="D22" s="490"/>
      <c r="E22" s="490"/>
      <c r="F22" s="490"/>
      <c r="G22" s="490"/>
      <c r="H22" s="490"/>
      <c r="I22" s="490"/>
      <c r="J22" s="490"/>
      <c r="K22" s="490"/>
      <c r="L22" s="490"/>
      <c r="M22" s="490"/>
      <c r="N22" s="100"/>
    </row>
    <row r="23" spans="1:14" x14ac:dyDescent="0.25">
      <c r="A23" s="99"/>
      <c r="B23" s="488"/>
      <c r="C23" s="488"/>
      <c r="D23" s="490"/>
      <c r="E23" s="490"/>
      <c r="F23" s="490"/>
      <c r="G23" s="490"/>
      <c r="H23" s="490"/>
      <c r="I23" s="490"/>
      <c r="J23" s="490"/>
      <c r="K23" s="490"/>
      <c r="L23" s="490"/>
      <c r="M23" s="490"/>
      <c r="N23" s="100"/>
    </row>
    <row r="24" spans="1:14" x14ac:dyDescent="0.25">
      <c r="A24" s="99"/>
      <c r="B24" s="488"/>
      <c r="C24" s="488"/>
      <c r="D24" s="490"/>
      <c r="E24" s="490"/>
      <c r="F24" s="490"/>
      <c r="G24" s="490"/>
      <c r="H24" s="490"/>
      <c r="I24" s="490"/>
      <c r="J24" s="490"/>
      <c r="K24" s="490"/>
      <c r="L24" s="490"/>
      <c r="M24" s="490"/>
      <c r="N24" s="100"/>
    </row>
    <row r="25" spans="1:14" x14ac:dyDescent="0.25">
      <c r="A25" s="99"/>
      <c r="B25" s="488"/>
      <c r="C25" s="488"/>
      <c r="D25" s="490"/>
      <c r="E25" s="490"/>
      <c r="F25" s="490"/>
      <c r="G25" s="490"/>
      <c r="H25" s="490"/>
      <c r="I25" s="490"/>
      <c r="J25" s="490"/>
      <c r="K25" s="490"/>
      <c r="L25" s="490"/>
      <c r="M25" s="490"/>
      <c r="N25" s="100"/>
    </row>
    <row r="26" spans="1:14" x14ac:dyDescent="0.25">
      <c r="A26" s="99"/>
      <c r="B26" s="488"/>
      <c r="C26" s="488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100"/>
    </row>
    <row r="27" spans="1:14" x14ac:dyDescent="0.25">
      <c r="A27" s="99"/>
      <c r="B27" s="488"/>
      <c r="C27" s="488"/>
      <c r="D27" s="490"/>
      <c r="E27" s="490"/>
      <c r="F27" s="490"/>
      <c r="G27" s="490"/>
      <c r="H27" s="490"/>
      <c r="I27" s="490"/>
      <c r="J27" s="490"/>
      <c r="K27" s="490"/>
      <c r="L27" s="490"/>
      <c r="M27" s="490"/>
      <c r="N27" s="100"/>
    </row>
    <row r="28" spans="1:14" x14ac:dyDescent="0.25">
      <c r="A28" s="99"/>
      <c r="B28" s="488"/>
      <c r="C28" s="488"/>
      <c r="D28" s="490"/>
      <c r="E28" s="490"/>
      <c r="F28" s="490"/>
      <c r="G28" s="490"/>
      <c r="H28" s="490"/>
      <c r="I28" s="490"/>
      <c r="J28" s="490"/>
      <c r="K28" s="490"/>
      <c r="L28" s="490"/>
      <c r="M28" s="490"/>
      <c r="N28" s="100"/>
    </row>
    <row r="29" spans="1:14" x14ac:dyDescent="0.25">
      <c r="A29" s="99"/>
      <c r="B29" s="488"/>
      <c r="C29" s="488"/>
      <c r="D29" s="490"/>
      <c r="E29" s="490"/>
      <c r="F29" s="490"/>
      <c r="G29" s="490"/>
      <c r="H29" s="490"/>
      <c r="I29" s="490"/>
      <c r="J29" s="490"/>
      <c r="K29" s="490"/>
      <c r="L29" s="490"/>
      <c r="M29" s="490"/>
      <c r="N29" s="100"/>
    </row>
    <row r="30" spans="1:14" x14ac:dyDescent="0.25">
      <c r="A30" s="99"/>
      <c r="B30" s="488"/>
      <c r="C30" s="488"/>
      <c r="D30" s="490"/>
      <c r="E30" s="490"/>
      <c r="F30" s="490"/>
      <c r="G30" s="490"/>
      <c r="H30" s="490"/>
      <c r="I30" s="490"/>
      <c r="J30" s="490"/>
      <c r="K30" s="490"/>
      <c r="L30" s="490"/>
      <c r="M30" s="490"/>
      <c r="N30" s="100"/>
    </row>
    <row r="31" spans="1:14" x14ac:dyDescent="0.25">
      <c r="A31" s="99"/>
      <c r="B31" s="488"/>
      <c r="C31" s="488"/>
      <c r="D31" s="490"/>
      <c r="E31" s="490"/>
      <c r="F31" s="490"/>
      <c r="G31" s="490"/>
      <c r="H31" s="490"/>
      <c r="I31" s="490"/>
      <c r="J31" s="490"/>
      <c r="K31" s="490"/>
      <c r="L31" s="490"/>
      <c r="M31" s="490"/>
      <c r="N31" s="100"/>
    </row>
    <row r="32" spans="1:14" x14ac:dyDescent="0.25">
      <c r="A32" s="99"/>
      <c r="B32" s="488"/>
      <c r="C32" s="488"/>
      <c r="D32" s="490"/>
      <c r="E32" s="490"/>
      <c r="F32" s="490"/>
      <c r="G32" s="490"/>
      <c r="H32" s="490"/>
      <c r="I32" s="490"/>
      <c r="J32" s="490"/>
      <c r="K32" s="490"/>
      <c r="L32" s="490"/>
      <c r="M32" s="490"/>
      <c r="N32" s="100"/>
    </row>
    <row r="33" spans="1:14" x14ac:dyDescent="0.25">
      <c r="A33" s="99"/>
      <c r="B33" s="488"/>
      <c r="C33" s="488"/>
      <c r="D33" s="490"/>
      <c r="E33" s="490"/>
      <c r="F33" s="490"/>
      <c r="G33" s="490"/>
      <c r="H33" s="490"/>
      <c r="I33" s="490"/>
      <c r="J33" s="490"/>
      <c r="K33" s="490"/>
      <c r="L33" s="490"/>
      <c r="M33" s="490"/>
      <c r="N33" s="100"/>
    </row>
    <row r="34" spans="1:14" x14ac:dyDescent="0.25">
      <c r="A34" s="99"/>
      <c r="B34" s="488"/>
      <c r="C34" s="488"/>
      <c r="D34" s="490"/>
      <c r="E34" s="490"/>
      <c r="F34" s="490"/>
      <c r="G34" s="490"/>
      <c r="H34" s="490"/>
      <c r="I34" s="490"/>
      <c r="J34" s="490"/>
      <c r="K34" s="490"/>
      <c r="L34" s="490"/>
      <c r="M34" s="490"/>
      <c r="N34" s="100"/>
    </row>
    <row r="35" spans="1:14" x14ac:dyDescent="0.25">
      <c r="A35" s="99"/>
      <c r="B35" s="488"/>
      <c r="C35" s="488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100"/>
    </row>
    <row r="36" spans="1:14" x14ac:dyDescent="0.25">
      <c r="A36" s="99"/>
      <c r="B36" s="488"/>
      <c r="C36" s="488"/>
      <c r="D36" s="490"/>
      <c r="E36" s="490"/>
      <c r="F36" s="490"/>
      <c r="G36" s="490"/>
      <c r="H36" s="490"/>
      <c r="I36" s="490"/>
      <c r="J36" s="490"/>
      <c r="K36" s="490"/>
      <c r="L36" s="490"/>
      <c r="M36" s="490"/>
      <c r="N36" s="100"/>
    </row>
    <row r="37" spans="1:14" x14ac:dyDescent="0.25">
      <c r="A37" s="99"/>
      <c r="B37" s="488"/>
      <c r="C37" s="488"/>
      <c r="D37" s="490"/>
      <c r="E37" s="490"/>
      <c r="F37" s="490"/>
      <c r="G37" s="490"/>
      <c r="H37" s="490"/>
      <c r="I37" s="490"/>
      <c r="J37" s="490"/>
      <c r="K37" s="490"/>
      <c r="L37" s="490"/>
      <c r="M37" s="490"/>
      <c r="N37" s="100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68"/>
      <c r="J39" s="68"/>
      <c r="K39" s="403"/>
      <c r="L39" s="403"/>
      <c r="M39" s="404"/>
      <c r="N39" s="404"/>
    </row>
  </sheetData>
  <mergeCells count="78">
    <mergeCell ref="B33:C33"/>
    <mergeCell ref="D33:M33"/>
    <mergeCell ref="K39:L39"/>
    <mergeCell ref="M39:N39"/>
    <mergeCell ref="B35:C35"/>
    <mergeCell ref="D35:M35"/>
    <mergeCell ref="B37:C37"/>
    <mergeCell ref="D37:M37"/>
    <mergeCell ref="B36:C36"/>
    <mergeCell ref="D36:M36"/>
    <mergeCell ref="B34:C34"/>
    <mergeCell ref="D34:M34"/>
    <mergeCell ref="B28:C28"/>
    <mergeCell ref="D28:M28"/>
    <mergeCell ref="B29:C29"/>
    <mergeCell ref="D29:M29"/>
    <mergeCell ref="B31:C31"/>
    <mergeCell ref="D31:M31"/>
    <mergeCell ref="B32:C32"/>
    <mergeCell ref="D32:M32"/>
    <mergeCell ref="B22:C22"/>
    <mergeCell ref="D22:M22"/>
    <mergeCell ref="B30:C30"/>
    <mergeCell ref="D30:M30"/>
    <mergeCell ref="B25:C25"/>
    <mergeCell ref="D25:M25"/>
    <mergeCell ref="B26:C26"/>
    <mergeCell ref="D26:M26"/>
    <mergeCell ref="B27:C27"/>
    <mergeCell ref="D27:M27"/>
    <mergeCell ref="B16:C16"/>
    <mergeCell ref="D16:M16"/>
    <mergeCell ref="B11:C11"/>
    <mergeCell ref="D11:M11"/>
    <mergeCell ref="B12:C12"/>
    <mergeCell ref="D12:M12"/>
    <mergeCell ref="B24:C24"/>
    <mergeCell ref="D24:M24"/>
    <mergeCell ref="B19:C19"/>
    <mergeCell ref="D19:M19"/>
    <mergeCell ref="B20:C20"/>
    <mergeCell ref="D20:M20"/>
    <mergeCell ref="B23:C23"/>
    <mergeCell ref="D23:M23"/>
    <mergeCell ref="B21:C21"/>
    <mergeCell ref="D21:M21"/>
    <mergeCell ref="B18:C18"/>
    <mergeCell ref="D18:M18"/>
    <mergeCell ref="B13:C13"/>
    <mergeCell ref="D13:M13"/>
    <mergeCell ref="B14:C14"/>
    <mergeCell ref="D14:M14"/>
    <mergeCell ref="B15:C15"/>
    <mergeCell ref="D15:M15"/>
    <mergeCell ref="B17:C17"/>
    <mergeCell ref="D17:M17"/>
    <mergeCell ref="A7:B7"/>
    <mergeCell ref="C7:I7"/>
    <mergeCell ref="J7:K7"/>
    <mergeCell ref="A8:N8"/>
    <mergeCell ref="B10:C10"/>
    <mergeCell ref="D10:M10"/>
    <mergeCell ref="B9:C9"/>
    <mergeCell ref="D9:M9"/>
    <mergeCell ref="G4:H4"/>
    <mergeCell ref="J4:K4"/>
    <mergeCell ref="I5:J5"/>
    <mergeCell ref="K5:L5"/>
    <mergeCell ref="M5:N5"/>
    <mergeCell ref="H6:J6"/>
    <mergeCell ref="K6:L6"/>
    <mergeCell ref="M6:N6"/>
    <mergeCell ref="G1:K1"/>
    <mergeCell ref="G2:H2"/>
    <mergeCell ref="I2:N2"/>
    <mergeCell ref="I3:J3"/>
    <mergeCell ref="K3:L3"/>
    <mergeCell ref="M3:N3"/>
  </mergeCells>
  <phoneticPr fontId="0" type="noConversion"/>
  <pageMargins left="0.25" right="0.25" top="0.25" bottom="0.25" header="0.5" footer="0.5"/>
  <pageSetup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3EE2-2CB2-4D3D-AD0E-6723E619B4B3}">
  <sheetPr codeName="Sheet1"/>
  <dimension ref="A1:AL542"/>
  <sheetViews>
    <sheetView topLeftCell="A151" zoomScale="85" zoomScaleNormal="85" workbookViewId="0">
      <selection activeCell="B185" sqref="B185"/>
    </sheetView>
  </sheetViews>
  <sheetFormatPr defaultRowHeight="13.2" x14ac:dyDescent="0.25"/>
  <cols>
    <col min="1" max="1" width="27.5546875" customWidth="1"/>
    <col min="3" max="3" width="21.5546875" customWidth="1"/>
    <col min="4" max="4" width="40.21875" customWidth="1"/>
    <col min="5" max="5" width="14.5546875" customWidth="1"/>
    <col min="6" max="6" width="15" customWidth="1"/>
    <col min="7" max="7" width="20.44140625" customWidth="1"/>
    <col min="8" max="8" width="23" customWidth="1"/>
    <col min="9" max="9" width="15.77734375" customWidth="1"/>
    <col min="10" max="10" width="21.21875" customWidth="1"/>
    <col min="11" max="11" width="39.5546875" customWidth="1"/>
    <col min="13" max="13" width="23.5546875" customWidth="1"/>
    <col min="16" max="16" width="12.21875" customWidth="1"/>
    <col min="17" max="17" width="45.77734375" customWidth="1"/>
    <col min="32" max="32" width="30.77734375" customWidth="1"/>
    <col min="38" max="38" width="21.77734375" customWidth="1"/>
  </cols>
  <sheetData>
    <row r="1" spans="1:38" ht="12.75" customHeight="1" x14ac:dyDescent="0.25">
      <c r="A1" t="s">
        <v>384</v>
      </c>
      <c r="D1" t="s">
        <v>383</v>
      </c>
      <c r="E1" t="s">
        <v>382</v>
      </c>
      <c r="F1" s="105"/>
      <c r="G1" t="s">
        <v>386</v>
      </c>
      <c r="J1" t="s">
        <v>387</v>
      </c>
      <c r="M1" s="39" t="s">
        <v>425</v>
      </c>
      <c r="P1" s="39" t="s">
        <v>538</v>
      </c>
    </row>
    <row r="2" spans="1:38" ht="12.75" customHeight="1" x14ac:dyDescent="0.3">
      <c r="A2" s="39" t="s">
        <v>433</v>
      </c>
      <c r="D2" s="39" t="s">
        <v>1675</v>
      </c>
      <c r="E2" s="39" t="s">
        <v>1679</v>
      </c>
      <c r="F2" s="105"/>
      <c r="G2" s="39" t="s">
        <v>433</v>
      </c>
      <c r="J2" s="39" t="s">
        <v>433</v>
      </c>
      <c r="M2" s="39" t="s">
        <v>427</v>
      </c>
      <c r="P2" s="133" t="s">
        <v>539</v>
      </c>
      <c r="Q2" s="213" t="s">
        <v>1466</v>
      </c>
      <c r="R2" s="218" t="str">
        <f>$P2 &amp; "  " &amp; $Q2</f>
        <v>FL-10  Corner Trim (PBR/A Panel)</v>
      </c>
      <c r="Y2" s="212" t="s">
        <v>1452</v>
      </c>
      <c r="AF2" s="39" t="s">
        <v>385</v>
      </c>
      <c r="AH2" t="s">
        <v>695</v>
      </c>
      <c r="AL2" t="s">
        <v>1448</v>
      </c>
    </row>
    <row r="3" spans="1:38" ht="12.75" customHeight="1" x14ac:dyDescent="0.3">
      <c r="A3" s="39" t="s">
        <v>434</v>
      </c>
      <c r="D3" s="39" t="s">
        <v>1676</v>
      </c>
      <c r="E3" s="39" t="s">
        <v>1680</v>
      </c>
      <c r="F3" s="105"/>
      <c r="G3" s="39" t="s">
        <v>434</v>
      </c>
      <c r="J3" s="39" t="s">
        <v>434</v>
      </c>
      <c r="M3" s="39" t="s">
        <v>428</v>
      </c>
      <c r="P3" s="133" t="s">
        <v>540</v>
      </c>
      <c r="Q3" s="213" t="s">
        <v>746</v>
      </c>
      <c r="R3" s="218" t="str">
        <f t="shared" ref="R3:R68" si="0">$P3 &amp; "  " &amp; $Q3</f>
        <v>FL-11  Corner Trim (PBU Panel)</v>
      </c>
      <c r="Y3" s="212" t="s">
        <v>1453</v>
      </c>
      <c r="AF3" s="127" t="s">
        <v>449</v>
      </c>
      <c r="AH3" t="s">
        <v>1353</v>
      </c>
      <c r="AL3" t="s">
        <v>1445</v>
      </c>
    </row>
    <row r="4" spans="1:38" ht="12.75" customHeight="1" x14ac:dyDescent="0.3">
      <c r="A4" s="39" t="s">
        <v>435</v>
      </c>
      <c r="D4" s="39" t="s">
        <v>1677</v>
      </c>
      <c r="E4" s="39" t="s">
        <v>1681</v>
      </c>
      <c r="F4" s="105"/>
      <c r="G4" s="39" t="s">
        <v>435</v>
      </c>
      <c r="J4" s="39" t="s">
        <v>435</v>
      </c>
      <c r="M4" s="39" t="s">
        <v>426</v>
      </c>
      <c r="P4" s="133" t="s">
        <v>541</v>
      </c>
      <c r="Q4" s="213" t="s">
        <v>745</v>
      </c>
      <c r="R4" s="218" t="str">
        <f t="shared" si="0"/>
        <v>FL-12  Inside Corner Trim (PBR Panel)</v>
      </c>
      <c r="Y4" s="212" t="s">
        <v>1454</v>
      </c>
      <c r="AF4" s="127" t="s">
        <v>450</v>
      </c>
      <c r="AH4" t="s">
        <v>1354</v>
      </c>
      <c r="AL4" t="s">
        <v>1444</v>
      </c>
    </row>
    <row r="5" spans="1:38" ht="12.75" customHeight="1" x14ac:dyDescent="0.3">
      <c r="A5" s="39" t="s">
        <v>1692</v>
      </c>
      <c r="D5" s="39" t="s">
        <v>1678</v>
      </c>
      <c r="E5" s="39" t="s">
        <v>1682</v>
      </c>
      <c r="F5" s="105"/>
      <c r="G5" s="39" t="s">
        <v>1692</v>
      </c>
      <c r="J5" s="39" t="s">
        <v>436</v>
      </c>
      <c r="M5" s="39" t="s">
        <v>429</v>
      </c>
      <c r="P5" s="133" t="s">
        <v>542</v>
      </c>
      <c r="Q5" s="213" t="s">
        <v>744</v>
      </c>
      <c r="R5" s="218" t="str">
        <f t="shared" si="0"/>
        <v>FL-13  Inside Corner Trim (PBU Panel)</v>
      </c>
      <c r="Y5" s="212" t="s">
        <v>1455</v>
      </c>
      <c r="AF5" s="127" t="s">
        <v>451</v>
      </c>
      <c r="AH5" t="s">
        <v>1354</v>
      </c>
      <c r="AL5" t="s">
        <v>1447</v>
      </c>
    </row>
    <row r="6" spans="1:38" ht="12.75" customHeight="1" x14ac:dyDescent="0.3">
      <c r="A6" s="39" t="s">
        <v>436</v>
      </c>
      <c r="D6" s="39" t="s">
        <v>1674</v>
      </c>
      <c r="E6" s="39" t="s">
        <v>1683</v>
      </c>
      <c r="F6" s="105"/>
      <c r="G6" s="39" t="s">
        <v>436</v>
      </c>
      <c r="J6" t="s">
        <v>513</v>
      </c>
      <c r="P6" s="133" t="s">
        <v>543</v>
      </c>
      <c r="Q6" s="213" t="s">
        <v>1467</v>
      </c>
      <c r="R6" s="218" t="str">
        <f t="shared" si="0"/>
        <v>FL-14  Starter Trim (A Panel)</v>
      </c>
      <c r="Y6" s="212" t="s">
        <v>1456</v>
      </c>
      <c r="AF6" s="127" t="s">
        <v>452</v>
      </c>
      <c r="AH6" t="s">
        <v>1355</v>
      </c>
      <c r="AL6" t="s">
        <v>1446</v>
      </c>
    </row>
    <row r="7" spans="1:38" ht="12.75" customHeight="1" x14ac:dyDescent="0.3">
      <c r="A7" t="s">
        <v>513</v>
      </c>
      <c r="D7" s="39" t="s">
        <v>1673</v>
      </c>
      <c r="E7" s="39" t="s">
        <v>1684</v>
      </c>
      <c r="F7" s="105"/>
      <c r="G7" t="s">
        <v>513</v>
      </c>
      <c r="J7" s="39" t="s">
        <v>514</v>
      </c>
      <c r="M7" s="39"/>
      <c r="P7" s="133" t="s">
        <v>544</v>
      </c>
      <c r="Q7" s="213" t="s">
        <v>743</v>
      </c>
      <c r="R7" s="218" t="str">
        <f t="shared" si="0"/>
        <v>FL-15  Box Rake (PBR Panel)</v>
      </c>
      <c r="Y7" s="212" t="s">
        <v>1457</v>
      </c>
      <c r="AF7" s="127" t="s">
        <v>453</v>
      </c>
      <c r="AH7" t="s">
        <v>1355</v>
      </c>
    </row>
    <row r="8" spans="1:38" ht="12.75" customHeight="1" x14ac:dyDescent="0.3">
      <c r="A8" s="39" t="s">
        <v>514</v>
      </c>
      <c r="D8" t="s">
        <v>373</v>
      </c>
      <c r="E8" t="s">
        <v>360</v>
      </c>
      <c r="F8" s="105"/>
      <c r="G8" s="39" t="s">
        <v>514</v>
      </c>
      <c r="J8" s="39" t="s">
        <v>515</v>
      </c>
      <c r="M8" s="39"/>
      <c r="P8" s="133" t="s">
        <v>545</v>
      </c>
      <c r="Q8" s="213" t="s">
        <v>742</v>
      </c>
      <c r="R8" s="218" t="str">
        <f t="shared" si="0"/>
        <v>FL-16  Box Rake End Cap</v>
      </c>
      <c r="Y8" s="212" t="s">
        <v>1458</v>
      </c>
      <c r="AF8" s="127" t="s">
        <v>454</v>
      </c>
      <c r="AH8" t="s">
        <v>1353</v>
      </c>
    </row>
    <row r="9" spans="1:38" ht="12.75" customHeight="1" x14ac:dyDescent="0.3">
      <c r="A9" s="39" t="s">
        <v>515</v>
      </c>
      <c r="D9" t="s">
        <v>374</v>
      </c>
      <c r="E9" t="s">
        <v>361</v>
      </c>
      <c r="F9" s="105"/>
      <c r="G9" s="39" t="s">
        <v>515</v>
      </c>
      <c r="J9" t="s">
        <v>516</v>
      </c>
      <c r="P9" s="133" t="s">
        <v>546</v>
      </c>
      <c r="Q9" s="213" t="s">
        <v>741</v>
      </c>
      <c r="R9" s="218" t="str">
        <f t="shared" si="0"/>
        <v>FL-18  Box Rake (PBU Panel)</v>
      </c>
      <c r="Y9" s="212" t="s">
        <v>1459</v>
      </c>
      <c r="AF9" s="128" t="s">
        <v>1705</v>
      </c>
      <c r="AH9" t="s">
        <v>1354</v>
      </c>
    </row>
    <row r="10" spans="1:38" ht="12.75" customHeight="1" x14ac:dyDescent="0.3">
      <c r="A10" t="s">
        <v>516</v>
      </c>
      <c r="D10" t="s">
        <v>375</v>
      </c>
      <c r="E10" t="s">
        <v>362</v>
      </c>
      <c r="F10" s="105"/>
      <c r="G10" t="s">
        <v>516</v>
      </c>
      <c r="J10" s="39" t="s">
        <v>1204</v>
      </c>
      <c r="M10" s="39" t="s">
        <v>432</v>
      </c>
      <c r="P10" s="133" t="s">
        <v>547</v>
      </c>
      <c r="Q10" s="213" t="s">
        <v>738</v>
      </c>
      <c r="R10" s="218" t="str">
        <f t="shared" si="0"/>
        <v>FL-21  Rake Trim (PBR Panel)</v>
      </c>
      <c r="Y10" s="212" t="s">
        <v>1460</v>
      </c>
      <c r="AF10" s="127" t="s">
        <v>455</v>
      </c>
      <c r="AH10" t="s">
        <v>1356</v>
      </c>
    </row>
    <row r="11" spans="1:38" ht="12.75" customHeight="1" x14ac:dyDescent="0.3">
      <c r="A11" s="39" t="s">
        <v>1204</v>
      </c>
      <c r="D11" t="s">
        <v>376</v>
      </c>
      <c r="E11" t="s">
        <v>363</v>
      </c>
      <c r="F11" s="105"/>
      <c r="G11" s="39" t="s">
        <v>1204</v>
      </c>
      <c r="J11" s="39" t="s">
        <v>517</v>
      </c>
      <c r="M11" s="39" t="s">
        <v>390</v>
      </c>
      <c r="P11" s="133" t="s">
        <v>790</v>
      </c>
      <c r="Q11" s="213" t="s">
        <v>1199</v>
      </c>
      <c r="R11" s="218" t="str">
        <f t="shared" si="0"/>
        <v>FL-21 R  Rake Trim Mitered Rt (PBR Panel)</v>
      </c>
      <c r="Y11" s="212" t="s">
        <v>1461</v>
      </c>
      <c r="AF11" s="127" t="s">
        <v>456</v>
      </c>
      <c r="AH11" t="s">
        <v>1356</v>
      </c>
    </row>
    <row r="12" spans="1:38" ht="12.75" customHeight="1" x14ac:dyDescent="0.3">
      <c r="A12" s="39" t="s">
        <v>517</v>
      </c>
      <c r="D12" t="s">
        <v>377</v>
      </c>
      <c r="E12" t="s">
        <v>364</v>
      </c>
      <c r="F12" s="105"/>
      <c r="G12" s="39" t="s">
        <v>517</v>
      </c>
      <c r="J12" s="39" t="s">
        <v>518</v>
      </c>
      <c r="P12" s="133" t="s">
        <v>792</v>
      </c>
      <c r="Q12" s="213" t="s">
        <v>1198</v>
      </c>
      <c r="R12" s="218" t="str">
        <f t="shared" si="0"/>
        <v>FL-21 L  Rake Trim Mitered Lt (PBR Panel)</v>
      </c>
      <c r="Y12" s="212" t="s">
        <v>1462</v>
      </c>
      <c r="AF12" s="127" t="s">
        <v>457</v>
      </c>
      <c r="AH12" t="s">
        <v>1357</v>
      </c>
    </row>
    <row r="13" spans="1:38" ht="12.75" customHeight="1" x14ac:dyDescent="0.3">
      <c r="A13" s="39" t="s">
        <v>518</v>
      </c>
      <c r="D13" t="s">
        <v>378</v>
      </c>
      <c r="E13" t="s">
        <v>365</v>
      </c>
      <c r="F13" s="105"/>
      <c r="G13" s="39" t="s">
        <v>518</v>
      </c>
      <c r="J13" s="39" t="s">
        <v>519</v>
      </c>
      <c r="P13" s="133" t="s">
        <v>739</v>
      </c>
      <c r="Q13" s="213" t="s">
        <v>740</v>
      </c>
      <c r="R13" s="218" t="str">
        <f t="shared" si="0"/>
        <v>FL-22  Rake Trim End Cap (PBR Panel)</v>
      </c>
      <c r="Y13" s="212" t="s">
        <v>1463</v>
      </c>
      <c r="AF13" s="127" t="s">
        <v>458</v>
      </c>
      <c r="AH13" t="s">
        <v>1357</v>
      </c>
    </row>
    <row r="14" spans="1:38" ht="12.75" customHeight="1" x14ac:dyDescent="0.3">
      <c r="A14" s="39" t="s">
        <v>519</v>
      </c>
      <c r="D14" t="s">
        <v>379</v>
      </c>
      <c r="E14" t="s">
        <v>366</v>
      </c>
      <c r="F14" s="105"/>
      <c r="G14" s="39" t="s">
        <v>519</v>
      </c>
      <c r="J14" t="s">
        <v>520</v>
      </c>
      <c r="M14" t="s">
        <v>430</v>
      </c>
      <c r="P14" s="133" t="s">
        <v>548</v>
      </c>
      <c r="Q14" s="213" t="s">
        <v>1665</v>
      </c>
      <c r="R14" s="218" t="str">
        <f t="shared" si="0"/>
        <v>FL-23  Peak Box (  Sign  )</v>
      </c>
      <c r="Y14" s="212" t="s">
        <v>1464</v>
      </c>
      <c r="AF14" s="127" t="s">
        <v>1670</v>
      </c>
      <c r="AH14" t="s">
        <v>1354</v>
      </c>
    </row>
    <row r="15" spans="1:38" ht="12.75" customHeight="1" x14ac:dyDescent="0.3">
      <c r="A15" t="s">
        <v>520</v>
      </c>
      <c r="D15" s="39" t="s">
        <v>380</v>
      </c>
      <c r="E15" t="s">
        <v>367</v>
      </c>
      <c r="F15" s="105"/>
      <c r="G15" t="s">
        <v>520</v>
      </c>
      <c r="J15" s="39" t="s">
        <v>521</v>
      </c>
      <c r="M15" t="s">
        <v>431</v>
      </c>
      <c r="P15" s="133" t="s">
        <v>549</v>
      </c>
      <c r="Q15" s="213" t="s">
        <v>737</v>
      </c>
      <c r="R15" s="218" t="str">
        <f t="shared" si="0"/>
        <v>FL-24  Rake Trim (PBU Panel)</v>
      </c>
      <c r="Y15" s="212" t="s">
        <v>1465</v>
      </c>
      <c r="AF15" s="127" t="s">
        <v>459</v>
      </c>
      <c r="AH15" t="s">
        <v>1355</v>
      </c>
    </row>
    <row r="16" spans="1:38" ht="12.75" customHeight="1" x14ac:dyDescent="0.3">
      <c r="A16" s="39" t="s">
        <v>521</v>
      </c>
      <c r="D16" t="s">
        <v>381</v>
      </c>
      <c r="E16" t="s">
        <v>368</v>
      </c>
      <c r="F16" s="105"/>
      <c r="G16" s="39" t="s">
        <v>521</v>
      </c>
      <c r="J16" s="39" t="s">
        <v>522</v>
      </c>
      <c r="M16" t="s">
        <v>391</v>
      </c>
      <c r="P16" s="133" t="s">
        <v>791</v>
      </c>
      <c r="Q16" s="213" t="s">
        <v>1196</v>
      </c>
      <c r="R16" s="218" t="str">
        <f t="shared" si="0"/>
        <v>FL-24 R  Rake Trim Mitered Rt (PBU Panel)</v>
      </c>
      <c r="Y16" s="212" t="s">
        <v>1484</v>
      </c>
      <c r="AF16" s="127" t="s">
        <v>460</v>
      </c>
      <c r="AH16" t="s">
        <v>1355</v>
      </c>
    </row>
    <row r="17" spans="1:34" ht="12.75" customHeight="1" x14ac:dyDescent="0.3">
      <c r="A17" s="39" t="s">
        <v>522</v>
      </c>
      <c r="D17" t="s">
        <v>394</v>
      </c>
      <c r="E17" t="s">
        <v>369</v>
      </c>
      <c r="F17" s="105"/>
      <c r="G17" s="39" t="s">
        <v>522</v>
      </c>
      <c r="J17" s="39" t="s">
        <v>491</v>
      </c>
      <c r="P17" s="133" t="s">
        <v>1435</v>
      </c>
      <c r="Q17" s="213" t="s">
        <v>1197</v>
      </c>
      <c r="R17" s="218" t="str">
        <f t="shared" si="0"/>
        <v>FL-24 L  Rake Trim Mitered Lt (PBU Panel)</v>
      </c>
      <c r="Y17" s="212" t="s">
        <v>1485</v>
      </c>
      <c r="AF17" s="127" t="s">
        <v>461</v>
      </c>
      <c r="AH17" t="s">
        <v>1357</v>
      </c>
    </row>
    <row r="18" spans="1:34" ht="12.75" customHeight="1" x14ac:dyDescent="0.3">
      <c r="A18" s="39" t="s">
        <v>491</v>
      </c>
      <c r="D18" t="s">
        <v>395</v>
      </c>
      <c r="E18" t="s">
        <v>370</v>
      </c>
      <c r="F18" s="105"/>
      <c r="G18" s="39" t="s">
        <v>491</v>
      </c>
      <c r="J18" t="s">
        <v>523</v>
      </c>
      <c r="P18" s="133" t="s">
        <v>550</v>
      </c>
      <c r="Q18" s="213" t="s">
        <v>1665</v>
      </c>
      <c r="R18" s="218" t="str">
        <f t="shared" si="0"/>
        <v>FL-26  Peak Box (  Sign  )</v>
      </c>
      <c r="Y18" s="212" t="s">
        <v>1486</v>
      </c>
      <c r="AF18" s="127" t="s">
        <v>463</v>
      </c>
      <c r="AH18" t="s">
        <v>1358</v>
      </c>
    </row>
    <row r="19" spans="1:34" ht="12.75" customHeight="1" x14ac:dyDescent="0.3">
      <c r="A19" t="s">
        <v>523</v>
      </c>
      <c r="D19" s="39" t="s">
        <v>1672</v>
      </c>
      <c r="E19" s="39" t="s">
        <v>1685</v>
      </c>
      <c r="F19" s="105"/>
      <c r="G19" t="s">
        <v>523</v>
      </c>
      <c r="J19" s="39" t="s">
        <v>524</v>
      </c>
      <c r="P19" s="214" t="s">
        <v>551</v>
      </c>
      <c r="Q19" s="213" t="s">
        <v>736</v>
      </c>
      <c r="R19" s="218" t="str">
        <f t="shared" si="0"/>
        <v>FL-27  High Side Eave Trim (PBR Panel)</v>
      </c>
      <c r="Y19" s="212" t="s">
        <v>1487</v>
      </c>
      <c r="AF19" s="221" t="s">
        <v>962</v>
      </c>
      <c r="AH19" t="s">
        <v>1355</v>
      </c>
    </row>
    <row r="20" spans="1:34" ht="12.75" customHeight="1" x14ac:dyDescent="0.3">
      <c r="A20" s="39" t="s">
        <v>524</v>
      </c>
      <c r="D20" s="39" t="s">
        <v>1671</v>
      </c>
      <c r="E20" s="39" t="s">
        <v>1686</v>
      </c>
      <c r="F20" s="105"/>
      <c r="G20" s="39" t="s">
        <v>524</v>
      </c>
      <c r="J20" s="39" t="s">
        <v>525</v>
      </c>
      <c r="P20" s="214" t="s">
        <v>793</v>
      </c>
      <c r="Q20" s="213" t="s">
        <v>1439</v>
      </c>
      <c r="R20" s="218" t="str">
        <f t="shared" si="0"/>
        <v>FL-27 R  High Side Eave Trim Mitered Rt (PBR Panel)</v>
      </c>
      <c r="Y20" s="212" t="s">
        <v>1488</v>
      </c>
      <c r="AF20" s="233" t="s">
        <v>1706</v>
      </c>
      <c r="AH20" t="s">
        <v>1355</v>
      </c>
    </row>
    <row r="21" spans="1:34" ht="12.75" customHeight="1" x14ac:dyDescent="0.3">
      <c r="A21" s="39" t="s">
        <v>525</v>
      </c>
      <c r="D21" t="s">
        <v>396</v>
      </c>
      <c r="E21" t="s">
        <v>371</v>
      </c>
      <c r="F21" s="105"/>
      <c r="G21" s="39" t="s">
        <v>525</v>
      </c>
      <c r="J21" s="39" t="s">
        <v>526</v>
      </c>
      <c r="M21" t="s">
        <v>512</v>
      </c>
      <c r="P21" s="214" t="s">
        <v>794</v>
      </c>
      <c r="Q21" s="213" t="s">
        <v>1200</v>
      </c>
      <c r="R21" s="218" t="str">
        <f t="shared" si="0"/>
        <v>FL-27 L  High Side Eave Trim Mitered Lt (PBR Panel)</v>
      </c>
      <c r="Y21" s="212" t="s">
        <v>1489</v>
      </c>
      <c r="AF21" s="233" t="s">
        <v>1707</v>
      </c>
      <c r="AH21" t="s">
        <v>1357</v>
      </c>
    </row>
    <row r="22" spans="1:34" ht="12.75" customHeight="1" x14ac:dyDescent="0.3">
      <c r="A22" s="39" t="s">
        <v>526</v>
      </c>
      <c r="D22" t="s">
        <v>397</v>
      </c>
      <c r="E22" t="s">
        <v>372</v>
      </c>
      <c r="F22" s="105"/>
      <c r="G22" s="39" t="s">
        <v>526</v>
      </c>
      <c r="J22" t="s">
        <v>1700</v>
      </c>
      <c r="M22" t="s">
        <v>392</v>
      </c>
      <c r="P22" s="214" t="s">
        <v>795</v>
      </c>
      <c r="Q22" s="213" t="s">
        <v>1201</v>
      </c>
      <c r="R22" s="218" t="str">
        <f t="shared" si="0"/>
        <v>FL-28 R  High Side End Cap Rt (PBR Panel)</v>
      </c>
      <c r="Y22" s="212" t="s">
        <v>1490</v>
      </c>
    </row>
    <row r="23" spans="1:34" ht="12.75" customHeight="1" x14ac:dyDescent="0.3">
      <c r="A23" t="s">
        <v>1701</v>
      </c>
      <c r="F23" s="105"/>
      <c r="G23" t="s">
        <v>1701</v>
      </c>
      <c r="J23" s="39" t="s">
        <v>527</v>
      </c>
      <c r="M23" t="s">
        <v>391</v>
      </c>
      <c r="P23" s="214" t="s">
        <v>796</v>
      </c>
      <c r="Q23" s="213" t="s">
        <v>1202</v>
      </c>
      <c r="R23" s="218" t="str">
        <f t="shared" si="0"/>
        <v>FL-28 L  High Side End Cap Lt (PBR Panel)</v>
      </c>
      <c r="Y23" s="212" t="s">
        <v>1491</v>
      </c>
    </row>
    <row r="24" spans="1:34" ht="12.75" customHeight="1" x14ac:dyDescent="0.3">
      <c r="A24" s="39" t="s">
        <v>1700</v>
      </c>
      <c r="F24" s="105"/>
      <c r="G24" t="s">
        <v>1700</v>
      </c>
      <c r="J24" s="39" t="s">
        <v>528</v>
      </c>
      <c r="M24" t="s">
        <v>389</v>
      </c>
      <c r="P24" s="133" t="s">
        <v>552</v>
      </c>
      <c r="Q24" s="213" t="s">
        <v>735</v>
      </c>
      <c r="R24" s="218" t="str">
        <f t="shared" si="0"/>
        <v>FL-29  Low Side Eave Trim (PBR Panel)</v>
      </c>
      <c r="Y24" s="212" t="s">
        <v>1492</v>
      </c>
    </row>
    <row r="25" spans="1:34" ht="12.75" customHeight="1" x14ac:dyDescent="0.3">
      <c r="A25" s="39" t="s">
        <v>527</v>
      </c>
      <c r="F25" s="105"/>
      <c r="G25" s="39" t="s">
        <v>527</v>
      </c>
      <c r="J25" s="39" t="s">
        <v>529</v>
      </c>
      <c r="P25" s="133" t="s">
        <v>797</v>
      </c>
      <c r="Q25" s="213" t="s">
        <v>1203</v>
      </c>
      <c r="R25" s="218" t="str">
        <f t="shared" si="0"/>
        <v>FL-29 R  Low Side Eave Trim Mitered Rt (PBR Panel)</v>
      </c>
      <c r="Y25" s="212" t="s">
        <v>1493</v>
      </c>
    </row>
    <row r="26" spans="1:34" ht="12.75" customHeight="1" x14ac:dyDescent="0.3">
      <c r="A26" s="39" t="s">
        <v>528</v>
      </c>
      <c r="F26" s="105"/>
      <c r="G26" s="39" t="s">
        <v>528</v>
      </c>
      <c r="J26" s="39" t="s">
        <v>530</v>
      </c>
      <c r="P26" s="133" t="s">
        <v>798</v>
      </c>
      <c r="Q26" s="213" t="s">
        <v>1205</v>
      </c>
      <c r="R26" s="218" t="str">
        <f t="shared" si="0"/>
        <v>FL-29 L  Low Side Eave Trim Mitered Lt (PBR Panel)</v>
      </c>
      <c r="Y26" s="212" t="s">
        <v>1494</v>
      </c>
    </row>
    <row r="27" spans="1:34" ht="12.75" customHeight="1" x14ac:dyDescent="0.3">
      <c r="A27" s="39" t="s">
        <v>529</v>
      </c>
      <c r="F27" s="105"/>
      <c r="G27" s="39" t="s">
        <v>529</v>
      </c>
      <c r="J27" s="39" t="s">
        <v>531</v>
      </c>
      <c r="P27" s="133" t="s">
        <v>799</v>
      </c>
      <c r="Q27" s="213" t="s">
        <v>1206</v>
      </c>
      <c r="R27" s="218" t="str">
        <f t="shared" si="0"/>
        <v>FL-30 R  Low Side End Cap Rt (PBR Panel)</v>
      </c>
      <c r="Y27" s="212" t="s">
        <v>1495</v>
      </c>
    </row>
    <row r="28" spans="1:34" ht="12.75" customHeight="1" x14ac:dyDescent="0.3">
      <c r="A28" s="39" t="s">
        <v>530</v>
      </c>
      <c r="F28" s="105"/>
      <c r="G28" s="39" t="s">
        <v>530</v>
      </c>
      <c r="J28" s="39" t="s">
        <v>532</v>
      </c>
      <c r="P28" s="133" t="s">
        <v>800</v>
      </c>
      <c r="Q28" s="213" t="s">
        <v>1207</v>
      </c>
      <c r="R28" s="218" t="str">
        <f t="shared" si="0"/>
        <v>FL-30 L  Low Side End Cap Lt (PBR Panel)</v>
      </c>
      <c r="Y28" s="212" t="s">
        <v>1496</v>
      </c>
    </row>
    <row r="29" spans="1:34" ht="12.75" customHeight="1" x14ac:dyDescent="0.3">
      <c r="A29" s="39" t="s">
        <v>531</v>
      </c>
      <c r="F29" s="105"/>
      <c r="G29" s="39" t="s">
        <v>531</v>
      </c>
      <c r="J29" s="39" t="s">
        <v>533</v>
      </c>
      <c r="P29" s="133" t="s">
        <v>535</v>
      </c>
      <c r="Q29" s="213" t="s">
        <v>734</v>
      </c>
      <c r="R29" s="218" t="str">
        <f t="shared" si="0"/>
        <v>FL-31  Eave Trim (Simple)</v>
      </c>
      <c r="Y29" s="212" t="s">
        <v>1497</v>
      </c>
    </row>
    <row r="30" spans="1:34" ht="12.75" customHeight="1" x14ac:dyDescent="0.3">
      <c r="A30" s="39" t="s">
        <v>533</v>
      </c>
      <c r="F30" s="105"/>
      <c r="G30" s="39" t="s">
        <v>532</v>
      </c>
      <c r="J30" s="39" t="s">
        <v>534</v>
      </c>
      <c r="P30" s="133" t="s">
        <v>536</v>
      </c>
      <c r="Q30" s="213" t="s">
        <v>733</v>
      </c>
      <c r="R30" s="218" t="str">
        <f t="shared" si="0"/>
        <v>FL-32  Eave Gutter (PBR Panel)</v>
      </c>
      <c r="Y30" s="212" t="s">
        <v>1498</v>
      </c>
    </row>
    <row r="31" spans="1:34" ht="12.75" customHeight="1" x14ac:dyDescent="0.3">
      <c r="A31" s="39" t="s">
        <v>532</v>
      </c>
      <c r="F31" s="105"/>
      <c r="G31" s="39" t="s">
        <v>533</v>
      </c>
      <c r="P31" s="133" t="s">
        <v>813</v>
      </c>
      <c r="Q31" s="213" t="s">
        <v>1208</v>
      </c>
      <c r="R31" s="218" t="str">
        <f t="shared" si="0"/>
        <v>FL-32 R  Eave Gutter Mitered Rt (PBR Panel)</v>
      </c>
      <c r="Y31" s="212" t="s">
        <v>1499</v>
      </c>
    </row>
    <row r="32" spans="1:34" ht="12.75" customHeight="1" x14ac:dyDescent="0.3">
      <c r="E32" t="s">
        <v>671</v>
      </c>
      <c r="F32" s="105"/>
      <c r="G32" s="39" t="s">
        <v>429</v>
      </c>
      <c r="P32" s="133" t="s">
        <v>814</v>
      </c>
      <c r="Q32" s="213" t="s">
        <v>1209</v>
      </c>
      <c r="R32" s="218" t="str">
        <f t="shared" si="0"/>
        <v>FL-32 L  Eave Gutter Mitered Lt (PBR Panel)</v>
      </c>
      <c r="Y32" s="212" t="s">
        <v>1500</v>
      </c>
    </row>
    <row r="33" spans="1:25" ht="12.75" customHeight="1" x14ac:dyDescent="0.3">
      <c r="E33" t="s">
        <v>472</v>
      </c>
      <c r="F33" s="105"/>
      <c r="P33" s="214" t="s">
        <v>815</v>
      </c>
      <c r="Q33" s="213" t="s">
        <v>1210</v>
      </c>
      <c r="R33" s="218" t="str">
        <f t="shared" si="0"/>
        <v>FL-33 R  Gutter End Cap Rt (PBR Panel)</v>
      </c>
      <c r="Y33" s="212" t="s">
        <v>1501</v>
      </c>
    </row>
    <row r="34" spans="1:25" ht="12.75" customHeight="1" x14ac:dyDescent="0.3">
      <c r="A34" t="s">
        <v>388</v>
      </c>
      <c r="D34" t="s">
        <v>393</v>
      </c>
      <c r="F34" s="105" t="s">
        <v>398</v>
      </c>
      <c r="H34" s="39" t="s">
        <v>417</v>
      </c>
      <c r="K34" s="39" t="s">
        <v>437</v>
      </c>
      <c r="P34" s="214" t="s">
        <v>816</v>
      </c>
      <c r="Q34" s="213" t="s">
        <v>1211</v>
      </c>
      <c r="R34" s="218" t="str">
        <f t="shared" si="0"/>
        <v>FL-33 L  Gutter End Cap Lt (PBR Panel)</v>
      </c>
      <c r="Y34" s="212" t="s">
        <v>1502</v>
      </c>
    </row>
    <row r="35" spans="1:25" ht="12.75" customHeight="1" x14ac:dyDescent="0.3">
      <c r="A35" t="s">
        <v>392</v>
      </c>
      <c r="D35" s="39" t="s">
        <v>1675</v>
      </c>
      <c r="F35" s="109" t="s">
        <v>1690</v>
      </c>
      <c r="H35" s="39" t="s">
        <v>419</v>
      </c>
      <c r="K35" s="126" t="s">
        <v>438</v>
      </c>
      <c r="L35" t="s">
        <v>1353</v>
      </c>
      <c r="P35" s="133" t="s">
        <v>537</v>
      </c>
      <c r="Q35" s="213" t="s">
        <v>732</v>
      </c>
      <c r="R35" s="218" t="str">
        <f t="shared" si="0"/>
        <v>FL-34  Eave Gutter (PBU Panel)</v>
      </c>
      <c r="Y35" s="212" t="s">
        <v>1503</v>
      </c>
    </row>
    <row r="36" spans="1:25" ht="12.75" customHeight="1" x14ac:dyDescent="0.3">
      <c r="A36" t="s">
        <v>391</v>
      </c>
      <c r="D36" s="39" t="s">
        <v>1676</v>
      </c>
      <c r="F36" s="109" t="s">
        <v>1691</v>
      </c>
      <c r="H36" s="39" t="s">
        <v>418</v>
      </c>
      <c r="K36" s="125" t="s">
        <v>439</v>
      </c>
      <c r="L36" t="s">
        <v>1355</v>
      </c>
      <c r="P36" s="133" t="s">
        <v>817</v>
      </c>
      <c r="Q36" s="213" t="s">
        <v>1212</v>
      </c>
      <c r="R36" s="218" t="str">
        <f t="shared" si="0"/>
        <v>FL-34 R  Eave Gutter Mitered Rt (PBU Panel)</v>
      </c>
      <c r="Y36" s="212" t="s">
        <v>1504</v>
      </c>
    </row>
    <row r="37" spans="1:25" ht="12.75" customHeight="1" x14ac:dyDescent="0.3">
      <c r="A37" t="s">
        <v>390</v>
      </c>
      <c r="D37" s="39" t="s">
        <v>1677</v>
      </c>
      <c r="F37" s="109" t="s">
        <v>1688</v>
      </c>
      <c r="H37" s="39" t="s">
        <v>420</v>
      </c>
      <c r="K37" s="125" t="s">
        <v>440</v>
      </c>
      <c r="L37" t="s">
        <v>1353</v>
      </c>
      <c r="P37" s="133" t="s">
        <v>1436</v>
      </c>
      <c r="Q37" s="213" t="s">
        <v>1213</v>
      </c>
      <c r="R37" s="218" t="str">
        <f t="shared" si="0"/>
        <v>FL-34 L  Eave Gutter Mitered Lt (PBU Panel)</v>
      </c>
      <c r="Y37" s="212" t="s">
        <v>1505</v>
      </c>
    </row>
    <row r="38" spans="1:25" ht="12.75" customHeight="1" x14ac:dyDescent="0.3">
      <c r="A38" t="s">
        <v>389</v>
      </c>
      <c r="D38" s="39" t="s">
        <v>1678</v>
      </c>
      <c r="F38" s="109" t="s">
        <v>1687</v>
      </c>
      <c r="H38" s="39" t="s">
        <v>421</v>
      </c>
      <c r="K38" s="125" t="s">
        <v>441</v>
      </c>
      <c r="L38" t="s">
        <v>1355</v>
      </c>
      <c r="P38" s="133" t="s">
        <v>1437</v>
      </c>
      <c r="Q38" s="213" t="s">
        <v>1277</v>
      </c>
      <c r="R38" s="218" t="str">
        <f t="shared" si="0"/>
        <v>FL-35 R  Eave Gutter End Cap Rt (PBU Panel)</v>
      </c>
      <c r="Y38" s="212" t="s">
        <v>1506</v>
      </c>
    </row>
    <row r="39" spans="1:25" ht="12.75" customHeight="1" x14ac:dyDescent="0.3">
      <c r="D39" s="39" t="s">
        <v>1674</v>
      </c>
      <c r="F39" s="109" t="s">
        <v>1689</v>
      </c>
      <c r="K39" s="125" t="s">
        <v>677</v>
      </c>
      <c r="L39" t="s">
        <v>1355</v>
      </c>
      <c r="P39" s="133" t="s">
        <v>1438</v>
      </c>
      <c r="Q39" s="213" t="s">
        <v>1278</v>
      </c>
      <c r="R39" s="218" t="str">
        <f t="shared" si="0"/>
        <v>FL-35 L  Eave Gutter End Cap Lt (PBU Panel)</v>
      </c>
      <c r="Y39" s="212" t="s">
        <v>1507</v>
      </c>
    </row>
    <row r="40" spans="1:25" ht="12.75" customHeight="1" x14ac:dyDescent="0.3">
      <c r="D40" s="39" t="s">
        <v>1673</v>
      </c>
      <c r="F40" s="109" t="s">
        <v>399</v>
      </c>
      <c r="K40" s="125" t="s">
        <v>678</v>
      </c>
      <c r="L40" t="s">
        <v>1354</v>
      </c>
      <c r="P40" s="133" t="s">
        <v>553</v>
      </c>
      <c r="Q40" s="213" t="s">
        <v>731</v>
      </c>
      <c r="R40" s="218" t="str">
        <f t="shared" si="0"/>
        <v>FL-36  Eave Gutter (Box Hang On) (PBU Panel)</v>
      </c>
      <c r="Y40" s="212" t="s">
        <v>1508</v>
      </c>
    </row>
    <row r="41" spans="1:25" ht="12.75" customHeight="1" x14ac:dyDescent="0.3">
      <c r="D41" t="s">
        <v>373</v>
      </c>
      <c r="F41" s="109" t="s">
        <v>400</v>
      </c>
      <c r="H41" s="39" t="s">
        <v>422</v>
      </c>
      <c r="K41" s="125" t="s">
        <v>679</v>
      </c>
      <c r="L41" t="s">
        <v>1353</v>
      </c>
      <c r="P41" s="133" t="s">
        <v>554</v>
      </c>
      <c r="Q41" s="213" t="s">
        <v>730</v>
      </c>
      <c r="R41" s="218" t="str">
        <f t="shared" si="0"/>
        <v>FL-37  Eave Gutter (Box) (PBU Panel)</v>
      </c>
      <c r="Y41" s="212" t="s">
        <v>1509</v>
      </c>
    </row>
    <row r="42" spans="1:25" ht="12.75" customHeight="1" x14ac:dyDescent="0.3">
      <c r="D42" t="s">
        <v>374</v>
      </c>
      <c r="F42" s="109" t="s">
        <v>405</v>
      </c>
      <c r="H42" s="39" t="s">
        <v>423</v>
      </c>
      <c r="K42" s="125" t="s">
        <v>680</v>
      </c>
      <c r="L42" t="s">
        <v>1355</v>
      </c>
      <c r="P42" s="133" t="s">
        <v>555</v>
      </c>
      <c r="Q42" s="213" t="s">
        <v>729</v>
      </c>
      <c r="R42" s="218" t="str">
        <f t="shared" si="0"/>
        <v>FL-38  Gutter Strap (PBR Panel)</v>
      </c>
      <c r="Y42" s="212" t="s">
        <v>1510</v>
      </c>
    </row>
    <row r="43" spans="1:25" ht="12.75" customHeight="1" x14ac:dyDescent="0.3">
      <c r="D43" t="s">
        <v>375</v>
      </c>
      <c r="F43" s="109" t="s">
        <v>406</v>
      </c>
      <c r="H43" s="39" t="s">
        <v>424</v>
      </c>
      <c r="K43" s="125" t="s">
        <v>681</v>
      </c>
      <c r="L43" t="s">
        <v>1354</v>
      </c>
      <c r="P43" s="133" t="s">
        <v>556</v>
      </c>
      <c r="Q43" s="213" t="s">
        <v>727</v>
      </c>
      <c r="R43" s="218" t="str">
        <f t="shared" si="0"/>
        <v>FL-39A  Gutter End Cap (Box) (PBU Panel)</v>
      </c>
      <c r="Y43" s="212" t="s">
        <v>1511</v>
      </c>
    </row>
    <row r="44" spans="1:25" ht="12.75" customHeight="1" x14ac:dyDescent="0.3">
      <c r="A44" s="39"/>
      <c r="D44" t="s">
        <v>376</v>
      </c>
      <c r="F44" s="109" t="s">
        <v>407</v>
      </c>
      <c r="K44" s="125" t="s">
        <v>682</v>
      </c>
      <c r="L44" t="s">
        <v>1359</v>
      </c>
      <c r="P44" s="133" t="s">
        <v>557</v>
      </c>
      <c r="Q44" s="213" t="s">
        <v>728</v>
      </c>
      <c r="R44" s="218" t="str">
        <f t="shared" si="0"/>
        <v>FL-39B  Gutter End Cap (Box) (PBR Panel)</v>
      </c>
      <c r="Y44" s="212" t="s">
        <v>1512</v>
      </c>
    </row>
    <row r="45" spans="1:25" ht="12.75" customHeight="1" x14ac:dyDescent="0.3">
      <c r="A45" s="127"/>
      <c r="D45" t="s">
        <v>377</v>
      </c>
      <c r="F45" s="109" t="s">
        <v>408</v>
      </c>
      <c r="K45" s="125" t="s">
        <v>683</v>
      </c>
      <c r="L45" t="s">
        <v>1356</v>
      </c>
      <c r="P45" s="133" t="s">
        <v>558</v>
      </c>
      <c r="Q45" s="213" t="s">
        <v>747</v>
      </c>
      <c r="R45" s="218" t="str">
        <f t="shared" si="0"/>
        <v>FL-40  Downspout (Straight)</v>
      </c>
      <c r="Y45" s="212" t="s">
        <v>1513</v>
      </c>
    </row>
    <row r="46" spans="1:25" ht="12.75" customHeight="1" x14ac:dyDescent="0.3">
      <c r="A46" s="127"/>
      <c r="D46" t="s">
        <v>715</v>
      </c>
      <c r="F46" s="109" t="s">
        <v>401</v>
      </c>
      <c r="K46" s="125" t="s">
        <v>684</v>
      </c>
      <c r="L46" t="s">
        <v>1360</v>
      </c>
      <c r="P46" s="133" t="s">
        <v>559</v>
      </c>
      <c r="Q46" s="213" t="s">
        <v>748</v>
      </c>
      <c r="R46" s="218" t="str">
        <f t="shared" si="0"/>
        <v>FL-41  Downspout with Kickout (45º Elbow)</v>
      </c>
      <c r="Y46" s="212" t="s">
        <v>1514</v>
      </c>
    </row>
    <row r="47" spans="1:25" ht="12.75" customHeight="1" x14ac:dyDescent="0.3">
      <c r="A47" s="127"/>
      <c r="D47" t="s">
        <v>378</v>
      </c>
      <c r="F47" s="109" t="s">
        <v>402</v>
      </c>
      <c r="K47" s="125" t="s">
        <v>689</v>
      </c>
      <c r="L47" t="s">
        <v>1361</v>
      </c>
      <c r="P47" s="133" t="s">
        <v>560</v>
      </c>
      <c r="Q47" s="213" t="s">
        <v>754</v>
      </c>
      <c r="R47" s="218" t="str">
        <f t="shared" si="0"/>
        <v>FL-42  Downspout Elbow (45º)</v>
      </c>
      <c r="Y47" s="212" t="s">
        <v>1515</v>
      </c>
    </row>
    <row r="48" spans="1:25" ht="12.75" customHeight="1" x14ac:dyDescent="0.3">
      <c r="A48" s="127"/>
      <c r="D48" t="s">
        <v>716</v>
      </c>
      <c r="F48" s="109" t="s">
        <v>409</v>
      </c>
      <c r="K48" s="125" t="s">
        <v>690</v>
      </c>
      <c r="L48" t="s">
        <v>1354</v>
      </c>
      <c r="P48" s="133" t="s">
        <v>561</v>
      </c>
      <c r="Q48" s="213" t="s">
        <v>753</v>
      </c>
      <c r="R48" s="218" t="str">
        <f t="shared" si="0"/>
        <v>FL-43  Downspout Elbow (90º)</v>
      </c>
      <c r="Y48" s="212" t="s">
        <v>1516</v>
      </c>
    </row>
    <row r="49" spans="1:25" ht="12.75" customHeight="1" x14ac:dyDescent="0.3">
      <c r="A49" s="127"/>
      <c r="D49" t="s">
        <v>379</v>
      </c>
      <c r="F49" s="109" t="s">
        <v>416</v>
      </c>
      <c r="K49" s="125" t="s">
        <v>691</v>
      </c>
      <c r="L49" t="s">
        <v>1359</v>
      </c>
      <c r="P49" s="214" t="s">
        <v>562</v>
      </c>
      <c r="Q49" s="213" t="s">
        <v>752</v>
      </c>
      <c r="R49" s="218" t="str">
        <f t="shared" si="0"/>
        <v>FL-44  Downspout Wall Offset Return</v>
      </c>
      <c r="Y49" s="212" t="s">
        <v>1517</v>
      </c>
    </row>
    <row r="50" spans="1:25" ht="12.75" customHeight="1" x14ac:dyDescent="0.3">
      <c r="A50" s="127"/>
      <c r="D50" s="39" t="s">
        <v>380</v>
      </c>
      <c r="F50" s="109" t="s">
        <v>410</v>
      </c>
      <c r="K50" s="125" t="s">
        <v>692</v>
      </c>
      <c r="L50" t="s">
        <v>1356</v>
      </c>
      <c r="P50" s="133" t="s">
        <v>563</v>
      </c>
      <c r="Q50" s="213" t="s">
        <v>21</v>
      </c>
      <c r="R50" s="218" t="str">
        <f t="shared" si="0"/>
        <v>FL-45  Downspout Strap (4")</v>
      </c>
      <c r="Y50" s="212" t="s">
        <v>1518</v>
      </c>
    </row>
    <row r="51" spans="1:25" ht="12.75" customHeight="1" x14ac:dyDescent="0.3">
      <c r="A51" s="127"/>
      <c r="D51" t="s">
        <v>381</v>
      </c>
      <c r="F51" s="109" t="s">
        <v>411</v>
      </c>
      <c r="K51" s="125" t="s">
        <v>693</v>
      </c>
      <c r="L51" t="s">
        <v>1360</v>
      </c>
      <c r="P51" s="133" t="s">
        <v>58</v>
      </c>
      <c r="Q51" s="213" t="s">
        <v>22</v>
      </c>
      <c r="R51" s="218" t="str">
        <f>$P51 &amp; "  " &amp; $Q51</f>
        <v>FL-45A  Downspout Strap (8")</v>
      </c>
      <c r="Y51" s="212" t="s">
        <v>1519</v>
      </c>
    </row>
    <row r="52" spans="1:25" ht="12.75" customHeight="1" x14ac:dyDescent="0.3">
      <c r="A52" s="127"/>
      <c r="D52" t="s">
        <v>394</v>
      </c>
      <c r="F52" s="109" t="s">
        <v>403</v>
      </c>
      <c r="K52" s="125" t="s">
        <v>694</v>
      </c>
      <c r="L52" t="s">
        <v>1361</v>
      </c>
      <c r="P52" s="133" t="s">
        <v>59</v>
      </c>
      <c r="Q52" s="213" t="s">
        <v>76</v>
      </c>
      <c r="R52" s="218" t="str">
        <f>$P52 &amp; "  " &amp; $Q52</f>
        <v>FL-45B  Downspout Strap (6")</v>
      </c>
      <c r="Y52" s="212" t="s">
        <v>1520</v>
      </c>
    </row>
    <row r="53" spans="1:25" ht="12.75" customHeight="1" x14ac:dyDescent="0.3">
      <c r="A53" s="127"/>
      <c r="D53" t="s">
        <v>395</v>
      </c>
      <c r="F53" s="109" t="s">
        <v>404</v>
      </c>
      <c r="K53" s="125" t="s">
        <v>696</v>
      </c>
      <c r="L53" t="s">
        <v>1362</v>
      </c>
      <c r="P53" s="133" t="s">
        <v>564</v>
      </c>
      <c r="Q53" s="213" t="s">
        <v>751</v>
      </c>
      <c r="R53" s="218" t="str">
        <f t="shared" si="0"/>
        <v>FL-46  Scupper</v>
      </c>
      <c r="Y53" s="212" t="s">
        <v>1521</v>
      </c>
    </row>
    <row r="54" spans="1:25" ht="12.75" customHeight="1" x14ac:dyDescent="0.3">
      <c r="A54" s="127"/>
      <c r="D54" t="s">
        <v>717</v>
      </c>
      <c r="F54" s="109" t="s">
        <v>412</v>
      </c>
      <c r="K54" s="125" t="s">
        <v>697</v>
      </c>
      <c r="L54" t="s">
        <v>1363</v>
      </c>
      <c r="P54" s="133" t="s">
        <v>565</v>
      </c>
      <c r="Q54" s="213" t="s">
        <v>749</v>
      </c>
      <c r="R54" s="218" t="str">
        <f t="shared" si="0"/>
        <v>FL-47  Jamb Trim (PBU Panel)</v>
      </c>
      <c r="Y54" s="212" t="s">
        <v>1522</v>
      </c>
    </row>
    <row r="55" spans="1:25" ht="12.75" customHeight="1" x14ac:dyDescent="0.3">
      <c r="A55" s="127"/>
      <c r="D55" s="39" t="s">
        <v>1672</v>
      </c>
      <c r="F55" s="109" t="s">
        <v>415</v>
      </c>
      <c r="K55" s="125" t="s">
        <v>698</v>
      </c>
      <c r="L55" t="s">
        <v>1356</v>
      </c>
      <c r="P55" s="133" t="s">
        <v>566</v>
      </c>
      <c r="Q55" s="213" t="s">
        <v>750</v>
      </c>
      <c r="R55" s="218" t="str">
        <f t="shared" si="0"/>
        <v>FL-48  Jamb Trim (PBR Panel)</v>
      </c>
      <c r="Y55" s="212" t="s">
        <v>1523</v>
      </c>
    </row>
    <row r="56" spans="1:25" ht="12.75" customHeight="1" x14ac:dyDescent="0.3">
      <c r="A56" s="127"/>
      <c r="D56" s="39" t="s">
        <v>1671</v>
      </c>
      <c r="F56" s="109" t="s">
        <v>413</v>
      </c>
      <c r="K56" s="125" t="s">
        <v>699</v>
      </c>
      <c r="L56" t="s">
        <v>1360</v>
      </c>
      <c r="P56" s="133" t="s">
        <v>567</v>
      </c>
      <c r="Q56" s="213" t="s">
        <v>1468</v>
      </c>
      <c r="R56" s="218" t="str">
        <f t="shared" si="0"/>
        <v>FL-49  Jamb Trim (A/RVPBR Panel)</v>
      </c>
      <c r="Y56" s="212" t="s">
        <v>1524</v>
      </c>
    </row>
    <row r="57" spans="1:25" ht="12.75" customHeight="1" x14ac:dyDescent="0.3">
      <c r="A57" s="127"/>
      <c r="D57" t="s">
        <v>396</v>
      </c>
      <c r="F57" s="109" t="s">
        <v>414</v>
      </c>
      <c r="K57" s="125" t="s">
        <v>700</v>
      </c>
      <c r="L57" t="s">
        <v>1361</v>
      </c>
      <c r="P57" s="133" t="s">
        <v>568</v>
      </c>
      <c r="Q57" s="213" t="s">
        <v>1469</v>
      </c>
      <c r="R57" s="218" t="str">
        <f t="shared" si="0"/>
        <v>FL-50  Head Trim (A/PBR Panel)</v>
      </c>
      <c r="Y57" s="212" t="s">
        <v>1525</v>
      </c>
    </row>
    <row r="58" spans="1:25" ht="12.75" customHeight="1" x14ac:dyDescent="0.3">
      <c r="A58" s="127"/>
      <c r="D58" t="s">
        <v>397</v>
      </c>
      <c r="K58" s="125" t="s">
        <v>701</v>
      </c>
      <c r="L58" t="s">
        <v>1362</v>
      </c>
      <c r="P58" s="133" t="s">
        <v>569</v>
      </c>
      <c r="Q58" s="213" t="s">
        <v>758</v>
      </c>
      <c r="R58" s="218" t="str">
        <f t="shared" si="0"/>
        <v>FL-51  Head Trim (PBU Panel)</v>
      </c>
      <c r="Y58" s="212" t="s">
        <v>1526</v>
      </c>
    </row>
    <row r="59" spans="1:25" ht="12.75" customHeight="1" x14ac:dyDescent="0.3">
      <c r="A59" s="127"/>
      <c r="F59" s="105"/>
      <c r="K59" s="125" t="s">
        <v>702</v>
      </c>
      <c r="L59" t="s">
        <v>1363</v>
      </c>
      <c r="P59" s="133" t="s">
        <v>570</v>
      </c>
      <c r="Q59" s="213" t="s">
        <v>1469</v>
      </c>
      <c r="R59" s="218" t="str">
        <f t="shared" si="0"/>
        <v>FL-52  Head Trim (A/PBR Panel)</v>
      </c>
      <c r="Y59" s="212" t="s">
        <v>1527</v>
      </c>
    </row>
    <row r="60" spans="1:25" ht="12.75" customHeight="1" x14ac:dyDescent="0.3">
      <c r="A60" s="221"/>
      <c r="F60" s="105"/>
      <c r="K60" s="125" t="s">
        <v>703</v>
      </c>
      <c r="L60" t="s">
        <v>1364</v>
      </c>
      <c r="P60" s="133" t="s">
        <v>571</v>
      </c>
      <c r="Q60" s="213" t="s">
        <v>757</v>
      </c>
      <c r="R60" s="218" t="str">
        <f t="shared" si="0"/>
        <v>FL-53  Window Sill Trim (Fixed Glass)</v>
      </c>
      <c r="Y60" s="212" t="s">
        <v>1528</v>
      </c>
    </row>
    <row r="61" spans="1:25" ht="12.75" customHeight="1" x14ac:dyDescent="0.3">
      <c r="A61" s="221"/>
      <c r="F61" s="105"/>
      <c r="K61" s="125" t="s">
        <v>704</v>
      </c>
      <c r="L61" t="s">
        <v>1360</v>
      </c>
      <c r="P61" s="214" t="s">
        <v>572</v>
      </c>
      <c r="Q61" s="213" t="s">
        <v>756</v>
      </c>
      <c r="R61" s="218" t="str">
        <f t="shared" si="0"/>
        <v>FL-54  Drip Trim</v>
      </c>
      <c r="Y61" s="212" t="s">
        <v>1529</v>
      </c>
    </row>
    <row r="62" spans="1:25" ht="12.75" customHeight="1" x14ac:dyDescent="0.3">
      <c r="A62" s="128" t="s">
        <v>464</v>
      </c>
      <c r="F62" s="105"/>
      <c r="K62" s="125" t="s">
        <v>705</v>
      </c>
      <c r="L62" t="s">
        <v>1361</v>
      </c>
      <c r="P62" s="133" t="s">
        <v>573</v>
      </c>
      <c r="Q62" s="213" t="s">
        <v>755</v>
      </c>
      <c r="R62" s="218" t="str">
        <f t="shared" si="0"/>
        <v>FL-55  F.O. Cover Trim (8")</v>
      </c>
      <c r="Y62" s="212" t="s">
        <v>1530</v>
      </c>
    </row>
    <row r="63" spans="1:25" ht="12.75" customHeight="1" x14ac:dyDescent="0.3">
      <c r="A63" s="222" t="s">
        <v>1611</v>
      </c>
      <c r="F63" s="105"/>
      <c r="K63" s="125" t="s">
        <v>706</v>
      </c>
      <c r="L63" t="s">
        <v>1362</v>
      </c>
      <c r="P63" s="133" t="s">
        <v>574</v>
      </c>
      <c r="Q63" s="213" t="s">
        <v>759</v>
      </c>
      <c r="R63" s="218" t="str">
        <f t="shared" si="0"/>
        <v>FL-56  Flat Ridge Cap</v>
      </c>
      <c r="Y63" s="212" t="s">
        <v>1531</v>
      </c>
    </row>
    <row r="64" spans="1:25" ht="12.75" customHeight="1" x14ac:dyDescent="0.3">
      <c r="A64" s="222" t="s">
        <v>1612</v>
      </c>
      <c r="F64" s="105"/>
      <c r="K64" s="125" t="s">
        <v>707</v>
      </c>
      <c r="L64" t="s">
        <v>1363</v>
      </c>
      <c r="P64" s="133" t="s">
        <v>575</v>
      </c>
      <c r="Q64" s="213" t="s">
        <v>763</v>
      </c>
      <c r="R64" s="218" t="str">
        <f t="shared" si="0"/>
        <v>FL-57  Roof Conversion Trim (PBR Panel)</v>
      </c>
      <c r="Y64" s="212" t="s">
        <v>1532</v>
      </c>
    </row>
    <row r="65" spans="1:25" ht="12.75" customHeight="1" x14ac:dyDescent="0.3">
      <c r="A65" s="222" t="s">
        <v>1613</v>
      </c>
      <c r="F65" s="105"/>
      <c r="K65" s="125" t="s">
        <v>708</v>
      </c>
      <c r="L65" t="s">
        <v>1364</v>
      </c>
      <c r="P65" s="133" t="s">
        <v>576</v>
      </c>
      <c r="Q65" s="213" t="s">
        <v>762</v>
      </c>
      <c r="R65" s="218" t="str">
        <f t="shared" si="0"/>
        <v>FL-58  Roof Conversion Trim (PBU Panel)</v>
      </c>
      <c r="Y65" s="212" t="s">
        <v>1533</v>
      </c>
    </row>
    <row r="66" spans="1:25" ht="12.75" customHeight="1" x14ac:dyDescent="0.3">
      <c r="A66" s="222" t="s">
        <v>1614</v>
      </c>
      <c r="F66" s="105"/>
      <c r="K66" s="125" t="s">
        <v>709</v>
      </c>
      <c r="L66" t="s">
        <v>1365</v>
      </c>
      <c r="P66" s="133" t="s">
        <v>577</v>
      </c>
      <c r="Q66" s="213" t="s">
        <v>761</v>
      </c>
      <c r="R66" s="218" t="str">
        <f t="shared" si="0"/>
        <v>FL-59  Base Flash</v>
      </c>
      <c r="Y66" s="212" t="s">
        <v>1534</v>
      </c>
    </row>
    <row r="67" spans="1:25" ht="12.75" customHeight="1" x14ac:dyDescent="0.3">
      <c r="A67" s="222" t="s">
        <v>1615</v>
      </c>
      <c r="F67" s="105"/>
      <c r="K67" s="125" t="s">
        <v>710</v>
      </c>
      <c r="L67" t="s">
        <v>1366</v>
      </c>
      <c r="P67" s="133" t="s">
        <v>578</v>
      </c>
      <c r="Q67" s="213" t="s">
        <v>760</v>
      </c>
      <c r="R67" s="218" t="str">
        <f t="shared" si="0"/>
        <v>FL-60  Base Trim</v>
      </c>
      <c r="Y67" s="212" t="s">
        <v>1535</v>
      </c>
    </row>
    <row r="68" spans="1:25" ht="12.75" customHeight="1" x14ac:dyDescent="0.3">
      <c r="A68" s="222" t="s">
        <v>1616</v>
      </c>
      <c r="F68" s="105"/>
      <c r="K68" s="125" t="s">
        <v>711</v>
      </c>
      <c r="L68" t="s">
        <v>1363</v>
      </c>
      <c r="P68" s="133" t="s">
        <v>579</v>
      </c>
      <c r="Q68" s="213" t="s">
        <v>764</v>
      </c>
      <c r="R68" s="218" t="str">
        <f t="shared" si="0"/>
        <v>FL-61  2x2 Outside Angle</v>
      </c>
      <c r="Y68" s="212" t="s">
        <v>1536</v>
      </c>
    </row>
    <row r="69" spans="1:25" ht="12.75" customHeight="1" x14ac:dyDescent="0.3">
      <c r="A69" s="222" t="s">
        <v>1651</v>
      </c>
      <c r="F69" s="105"/>
      <c r="K69" s="125" t="s">
        <v>712</v>
      </c>
      <c r="L69" t="s">
        <v>1365</v>
      </c>
      <c r="P69" s="133" t="s">
        <v>580</v>
      </c>
      <c r="Q69" s="213" t="s">
        <v>765</v>
      </c>
      <c r="R69" s="218" t="str">
        <f t="shared" ref="R69:R130" si="1">$P69 &amp; "  " &amp; $Q69</f>
        <v>FL-62  2x2 Inside Angle</v>
      </c>
      <c r="Y69" s="212" t="s">
        <v>1537</v>
      </c>
    </row>
    <row r="70" spans="1:25" ht="12.75" customHeight="1" x14ac:dyDescent="0.3">
      <c r="A70" s="222" t="s">
        <v>1652</v>
      </c>
      <c r="F70" s="105"/>
      <c r="K70" s="125" t="s">
        <v>713</v>
      </c>
      <c r="L70" t="s">
        <v>1367</v>
      </c>
      <c r="P70" s="133" t="s">
        <v>581</v>
      </c>
      <c r="Q70" s="213" t="s">
        <v>766</v>
      </c>
      <c r="R70" s="218" t="str">
        <f t="shared" si="1"/>
        <v>FL-63  3x3 Outside Angle</v>
      </c>
      <c r="Y70" s="212" t="s">
        <v>1538</v>
      </c>
    </row>
    <row r="71" spans="1:25" ht="12.75" customHeight="1" x14ac:dyDescent="0.3">
      <c r="A71" s="128"/>
      <c r="F71" s="105"/>
      <c r="K71" s="125" t="s">
        <v>714</v>
      </c>
      <c r="L71" t="s">
        <v>1368</v>
      </c>
      <c r="P71" s="133" t="s">
        <v>582</v>
      </c>
      <c r="Q71" s="213" t="s">
        <v>767</v>
      </c>
      <c r="R71" s="218" t="str">
        <f t="shared" si="1"/>
        <v>FL-64  3x3 Inside Angle</v>
      </c>
      <c r="Y71" s="212" t="s">
        <v>1539</v>
      </c>
    </row>
    <row r="72" spans="1:25" ht="12.75" customHeight="1" x14ac:dyDescent="0.3">
      <c r="A72" s="128" t="s">
        <v>465</v>
      </c>
      <c r="C72" t="s">
        <v>466</v>
      </c>
      <c r="E72" t="s">
        <v>467</v>
      </c>
      <c r="F72" s="105"/>
      <c r="G72" t="s">
        <v>471</v>
      </c>
      <c r="K72" s="125" t="s">
        <v>442</v>
      </c>
      <c r="P72" s="133" t="s">
        <v>583</v>
      </c>
      <c r="Q72" s="213" t="s">
        <v>786</v>
      </c>
      <c r="R72" s="218" t="str">
        <f t="shared" si="1"/>
        <v>FL-65  High Eave Flashing</v>
      </c>
      <c r="Y72" s="212" t="s">
        <v>1540</v>
      </c>
    </row>
    <row r="73" spans="1:25" ht="12.75" customHeight="1" x14ac:dyDescent="0.3">
      <c r="A73" s="128" t="s">
        <v>485</v>
      </c>
      <c r="C73" s="39" t="s">
        <v>1392</v>
      </c>
      <c r="E73" t="s">
        <v>468</v>
      </c>
      <c r="F73" s="105"/>
      <c r="G73" s="39" t="s">
        <v>1396</v>
      </c>
      <c r="K73" s="125" t="s">
        <v>443</v>
      </c>
      <c r="P73" s="133" t="s">
        <v>584</v>
      </c>
      <c r="Q73" s="213" t="s">
        <v>785</v>
      </c>
      <c r="R73" s="218" t="str">
        <f t="shared" si="1"/>
        <v>FL-66  Skylight Trim (PBR Panel)</v>
      </c>
      <c r="Y73" s="212" t="s">
        <v>1541</v>
      </c>
    </row>
    <row r="74" spans="1:25" ht="12.75" customHeight="1" x14ac:dyDescent="0.3">
      <c r="A74" s="128" t="s">
        <v>486</v>
      </c>
      <c r="C74" s="39" t="s">
        <v>1393</v>
      </c>
      <c r="E74" t="s">
        <v>1470</v>
      </c>
      <c r="F74" s="105"/>
      <c r="G74" s="39" t="s">
        <v>1397</v>
      </c>
      <c r="K74" s="125" t="s">
        <v>444</v>
      </c>
      <c r="P74" s="133" t="s">
        <v>585</v>
      </c>
      <c r="Q74" s="213" t="s">
        <v>784</v>
      </c>
      <c r="R74" s="218" t="str">
        <f t="shared" si="1"/>
        <v>FL-67  Slide Door Hood Trim</v>
      </c>
      <c r="Y74" s="212" t="s">
        <v>1542</v>
      </c>
    </row>
    <row r="75" spans="1:25" ht="12.75" customHeight="1" x14ac:dyDescent="0.3">
      <c r="A75" s="222" t="s">
        <v>1443</v>
      </c>
      <c r="E75" t="s">
        <v>469</v>
      </c>
      <c r="F75" s="105"/>
      <c r="K75" s="125" t="s">
        <v>445</v>
      </c>
      <c r="P75" s="133" t="s">
        <v>586</v>
      </c>
      <c r="Q75" s="213" t="s">
        <v>783</v>
      </c>
      <c r="R75" s="218" t="str">
        <f t="shared" si="1"/>
        <v>FL-68  Slide Door Hood End Cap</v>
      </c>
      <c r="Y75" s="212" t="s">
        <v>1543</v>
      </c>
    </row>
    <row r="76" spans="1:25" ht="12.75" customHeight="1" x14ac:dyDescent="0.3">
      <c r="A76" s="128" t="s">
        <v>487</v>
      </c>
      <c r="E76" t="s">
        <v>470</v>
      </c>
      <c r="F76" s="105"/>
      <c r="K76" s="125" t="s">
        <v>446</v>
      </c>
      <c r="P76" s="133" t="s">
        <v>587</v>
      </c>
      <c r="Q76" s="213" t="s">
        <v>782</v>
      </c>
      <c r="R76" s="218" t="str">
        <f t="shared" si="1"/>
        <v>FL-69  Valley Trim</v>
      </c>
      <c r="Y76" s="212" t="s">
        <v>1544</v>
      </c>
    </row>
    <row r="77" spans="1:25" ht="12.75" customHeight="1" x14ac:dyDescent="0.3">
      <c r="F77" s="105"/>
      <c r="K77" s="125" t="s">
        <v>447</v>
      </c>
      <c r="P77" s="133" t="s">
        <v>588</v>
      </c>
      <c r="Q77" s="213" t="s">
        <v>781</v>
      </c>
      <c r="R77" s="218" t="str">
        <f t="shared" si="1"/>
        <v>FL-70  Valley Trim (Extended)</v>
      </c>
      <c r="Y77" s="212" t="s">
        <v>1545</v>
      </c>
    </row>
    <row r="78" spans="1:25" ht="12.75" customHeight="1" x14ac:dyDescent="0.3">
      <c r="C78" t="s">
        <v>474</v>
      </c>
      <c r="E78" t="s">
        <v>476</v>
      </c>
      <c r="F78" s="105"/>
      <c r="G78" t="s">
        <v>477</v>
      </c>
      <c r="K78" s="125" t="s">
        <v>448</v>
      </c>
      <c r="P78" s="133" t="s">
        <v>589</v>
      </c>
      <c r="Q78" s="213" t="s">
        <v>780</v>
      </c>
      <c r="R78" s="218" t="str">
        <f t="shared" si="1"/>
        <v>FL-71  Eave Gutter (Box Hang On)</v>
      </c>
      <c r="Y78" s="212" t="s">
        <v>1546</v>
      </c>
    </row>
    <row r="79" spans="1:25" ht="12.75" customHeight="1" x14ac:dyDescent="0.3">
      <c r="C79" t="s">
        <v>109</v>
      </c>
      <c r="E79" t="s">
        <v>428</v>
      </c>
      <c r="F79" s="105"/>
      <c r="G79" t="s">
        <v>475</v>
      </c>
      <c r="K79" s="125"/>
      <c r="P79" s="133" t="s">
        <v>590</v>
      </c>
      <c r="Q79" s="213" t="s">
        <v>779</v>
      </c>
      <c r="R79" s="218" t="str">
        <f t="shared" si="1"/>
        <v>FL-72  Eave Gutter (Box)</v>
      </c>
      <c r="Y79" s="212" t="s">
        <v>1547</v>
      </c>
    </row>
    <row r="80" spans="1:25" ht="12.75" customHeight="1" x14ac:dyDescent="0.3">
      <c r="C80" t="s">
        <v>110</v>
      </c>
      <c r="E80" t="s">
        <v>429</v>
      </c>
      <c r="F80" s="105"/>
      <c r="G80" t="s">
        <v>1386</v>
      </c>
      <c r="K80" s="125"/>
      <c r="P80" s="133" t="s">
        <v>591</v>
      </c>
      <c r="Q80" s="213" t="s">
        <v>778</v>
      </c>
      <c r="R80" s="218" t="str">
        <f t="shared" si="1"/>
        <v>FL-73  Corner and Rake Trim  (Diamondback)</v>
      </c>
      <c r="Y80" s="212" t="s">
        <v>1548</v>
      </c>
    </row>
    <row r="81" spans="3:25" ht="12.75" customHeight="1" x14ac:dyDescent="0.3">
      <c r="C81" t="s">
        <v>111</v>
      </c>
      <c r="F81" s="105"/>
      <c r="G81" t="s">
        <v>1387</v>
      </c>
      <c r="J81" t="s">
        <v>466</v>
      </c>
      <c r="P81" s="133" t="s">
        <v>592</v>
      </c>
      <c r="Q81" s="213" t="s">
        <v>777</v>
      </c>
      <c r="R81" s="218" t="str">
        <f t="shared" si="1"/>
        <v>FL-74  Peak Box  (Diamondback)</v>
      </c>
      <c r="Y81" s="212" t="s">
        <v>1549</v>
      </c>
    </row>
    <row r="82" spans="3:25" ht="12.75" customHeight="1" x14ac:dyDescent="0.3">
      <c r="C82" t="s">
        <v>1376</v>
      </c>
      <c r="F82" s="105"/>
      <c r="G82" t="s">
        <v>1388</v>
      </c>
      <c r="J82" t="s">
        <v>482</v>
      </c>
      <c r="P82" s="133" t="s">
        <v>593</v>
      </c>
      <c r="Q82" s="213" t="s">
        <v>776</v>
      </c>
      <c r="R82" s="218" t="str">
        <f t="shared" si="1"/>
        <v>FL-75  Rake End Cap  (Diamondback)</v>
      </c>
      <c r="Y82" s="212" t="s">
        <v>1550</v>
      </c>
    </row>
    <row r="83" spans="3:25" ht="12.75" customHeight="1" x14ac:dyDescent="0.3">
      <c r="C83" t="s">
        <v>1377</v>
      </c>
      <c r="F83" s="105"/>
      <c r="G83" t="s">
        <v>1389</v>
      </c>
      <c r="J83" t="s">
        <v>483</v>
      </c>
      <c r="P83" s="133" t="s">
        <v>594</v>
      </c>
      <c r="Q83" s="213" t="s">
        <v>775</v>
      </c>
      <c r="R83" s="218" t="str">
        <f t="shared" si="1"/>
        <v xml:space="preserve">FL-76  Expansion Ridge                     </v>
      </c>
      <c r="Y83" s="212" t="s">
        <v>1551</v>
      </c>
    </row>
    <row r="84" spans="3:25" ht="12.75" customHeight="1" x14ac:dyDescent="0.3">
      <c r="F84" s="105"/>
      <c r="J84" t="s">
        <v>484</v>
      </c>
      <c r="P84" s="133" t="s">
        <v>1324</v>
      </c>
      <c r="Q84" s="213" t="s">
        <v>774</v>
      </c>
      <c r="R84" s="218" t="str">
        <f t="shared" si="1"/>
        <v xml:space="preserve">FL-77  Ridge End Cap                 </v>
      </c>
      <c r="Y84" s="212" t="s">
        <v>1552</v>
      </c>
    </row>
    <row r="85" spans="3:25" ht="12.75" customHeight="1" x14ac:dyDescent="0.3">
      <c r="C85" t="s">
        <v>478</v>
      </c>
      <c r="E85" t="s">
        <v>479</v>
      </c>
      <c r="F85" s="105"/>
      <c r="G85" t="s">
        <v>480</v>
      </c>
      <c r="P85" s="133" t="s">
        <v>595</v>
      </c>
      <c r="Q85" s="213" t="s">
        <v>773</v>
      </c>
      <c r="R85" s="218" t="str">
        <f t="shared" si="1"/>
        <v>FL-78  Rake Spacer Trim w/o Soffit</v>
      </c>
      <c r="Y85" s="212" t="s">
        <v>1553</v>
      </c>
    </row>
    <row r="86" spans="3:25" ht="12.75" customHeight="1" x14ac:dyDescent="0.3">
      <c r="C86" t="s">
        <v>475</v>
      </c>
      <c r="E86" t="s">
        <v>112</v>
      </c>
      <c r="F86" s="105"/>
      <c r="G86" t="s">
        <v>1378</v>
      </c>
      <c r="P86" s="133" t="s">
        <v>596</v>
      </c>
      <c r="Q86" s="213" t="s">
        <v>772</v>
      </c>
      <c r="R86" s="218" t="str">
        <f t="shared" si="1"/>
        <v>FL-79  Rake Spacer Trim w/ Soffit</v>
      </c>
      <c r="Y86" s="212" t="s">
        <v>1554</v>
      </c>
    </row>
    <row r="87" spans="3:25" ht="12.75" customHeight="1" x14ac:dyDescent="0.3">
      <c r="C87" t="s">
        <v>1390</v>
      </c>
      <c r="E87" t="s">
        <v>113</v>
      </c>
      <c r="F87" s="105"/>
      <c r="G87" t="s">
        <v>481</v>
      </c>
      <c r="P87" s="133" t="s">
        <v>597</v>
      </c>
      <c r="Q87" s="213" t="s">
        <v>771</v>
      </c>
      <c r="R87" s="218" t="str">
        <f t="shared" si="1"/>
        <v>FL-80  Eave Space Trim (8" Eave Strut)</v>
      </c>
      <c r="Y87" s="212" t="s">
        <v>1555</v>
      </c>
    </row>
    <row r="88" spans="3:25" ht="12.75" customHeight="1" x14ac:dyDescent="0.3">
      <c r="C88" t="s">
        <v>1391</v>
      </c>
      <c r="F88" s="105"/>
      <c r="G88" t="s">
        <v>1379</v>
      </c>
      <c r="P88" s="133" t="s">
        <v>598</v>
      </c>
      <c r="Q88" s="213" t="s">
        <v>770</v>
      </c>
      <c r="R88" s="218" t="str">
        <f t="shared" si="1"/>
        <v>FL-81  Formed Base Trim</v>
      </c>
      <c r="Y88" s="212" t="s">
        <v>1556</v>
      </c>
    </row>
    <row r="89" spans="3:25" ht="12.75" customHeight="1" x14ac:dyDescent="0.3">
      <c r="F89" s="105"/>
      <c r="G89" t="s">
        <v>1380</v>
      </c>
      <c r="P89" s="133" t="s">
        <v>599</v>
      </c>
      <c r="Q89" s="213" t="s">
        <v>769</v>
      </c>
      <c r="R89" s="218" t="str">
        <f t="shared" si="1"/>
        <v>FL-82  Corner Trim - Open Wall (PBR Panel)</v>
      </c>
      <c r="Y89" s="212" t="s">
        <v>1557</v>
      </c>
    </row>
    <row r="90" spans="3:25" ht="12.75" customHeight="1" x14ac:dyDescent="0.3">
      <c r="F90" s="105"/>
      <c r="G90" t="s">
        <v>1381</v>
      </c>
      <c r="P90" s="133" t="s">
        <v>600</v>
      </c>
      <c r="Q90" s="213" t="s">
        <v>768</v>
      </c>
      <c r="R90" s="218" t="str">
        <f t="shared" si="1"/>
        <v xml:space="preserve">FL-83  Starter Trim (RVPBU Panel)         </v>
      </c>
      <c r="Y90" s="212" t="s">
        <v>1558</v>
      </c>
    </row>
    <row r="91" spans="3:25" ht="12.75" customHeight="1" x14ac:dyDescent="0.3">
      <c r="D91" t="s">
        <v>488</v>
      </c>
      <c r="F91" s="105"/>
      <c r="G91" t="s">
        <v>1382</v>
      </c>
      <c r="I91" t="s">
        <v>490</v>
      </c>
      <c r="K91" t="s">
        <v>492</v>
      </c>
      <c r="M91" t="s">
        <v>495</v>
      </c>
      <c r="P91" s="133" t="s">
        <v>601</v>
      </c>
      <c r="Q91" s="213" t="s">
        <v>787</v>
      </c>
      <c r="R91" s="218" t="str">
        <f t="shared" si="1"/>
        <v>FL-84  Partition Trim (8" Purlins)</v>
      </c>
      <c r="Y91" s="212" t="s">
        <v>1559</v>
      </c>
    </row>
    <row r="92" spans="3:25" ht="12.75" customHeight="1" x14ac:dyDescent="0.3">
      <c r="D92" t="s">
        <v>489</v>
      </c>
      <c r="F92" s="105"/>
      <c r="G92" t="s">
        <v>1385</v>
      </c>
      <c r="I92" t="s">
        <v>429</v>
      </c>
      <c r="K92" t="s">
        <v>493</v>
      </c>
      <c r="M92" s="39" t="s">
        <v>1398</v>
      </c>
      <c r="P92" s="133" t="s">
        <v>602</v>
      </c>
      <c r="Q92" s="213" t="s">
        <v>856</v>
      </c>
      <c r="R92" s="218" t="str">
        <f t="shared" si="1"/>
        <v>FL-85  Partition Trim (8" Girts)</v>
      </c>
      <c r="Y92" s="212" t="s">
        <v>1560</v>
      </c>
    </row>
    <row r="93" spans="3:25" ht="12.75" customHeight="1" x14ac:dyDescent="0.3">
      <c r="C93" s="39" t="s">
        <v>1406</v>
      </c>
      <c r="D93" t="s">
        <v>511</v>
      </c>
      <c r="F93" s="105"/>
      <c r="G93" t="s">
        <v>1383</v>
      </c>
      <c r="I93" t="s">
        <v>491</v>
      </c>
      <c r="K93" s="39" t="s">
        <v>468</v>
      </c>
      <c r="M93" s="39" t="s">
        <v>1399</v>
      </c>
      <c r="P93" s="133" t="s">
        <v>603</v>
      </c>
      <c r="Q93" s="213" t="s">
        <v>855</v>
      </c>
      <c r="R93" s="218" t="str">
        <f t="shared" si="1"/>
        <v>FL-86  Window Jamb Stiffener</v>
      </c>
      <c r="Y93" s="212" t="s">
        <v>1561</v>
      </c>
    </row>
    <row r="94" spans="3:25" ht="12.75" customHeight="1" x14ac:dyDescent="0.3">
      <c r="C94" s="39" t="s">
        <v>493</v>
      </c>
      <c r="F94" s="105"/>
      <c r="G94" t="s">
        <v>1384</v>
      </c>
      <c r="P94" s="133" t="s">
        <v>604</v>
      </c>
      <c r="Q94" s="213" t="s">
        <v>854</v>
      </c>
      <c r="R94" s="218" t="str">
        <f t="shared" si="1"/>
        <v>FL-87  Liner Conversion Trim (PBR Panel)</v>
      </c>
      <c r="Y94" s="212" t="s">
        <v>1562</v>
      </c>
    </row>
    <row r="95" spans="3:25" ht="12.75" customHeight="1" x14ac:dyDescent="0.3">
      <c r="C95" s="39" t="s">
        <v>494</v>
      </c>
      <c r="F95" s="105"/>
      <c r="P95" s="133" t="s">
        <v>605</v>
      </c>
      <c r="Q95" s="213" t="s">
        <v>853</v>
      </c>
      <c r="R95" s="218" t="str">
        <f t="shared" si="1"/>
        <v>FL-88  Soffit Peak Trim</v>
      </c>
      <c r="Y95" s="212" t="s">
        <v>1563</v>
      </c>
    </row>
    <row r="96" spans="3:25" ht="12.75" customHeight="1" x14ac:dyDescent="0.3">
      <c r="C96" s="39" t="s">
        <v>1407</v>
      </c>
      <c r="F96" s="105"/>
      <c r="P96" s="133" t="s">
        <v>606</v>
      </c>
      <c r="Q96" s="213" t="s">
        <v>852</v>
      </c>
      <c r="R96" s="218" t="str">
        <f t="shared" si="1"/>
        <v>FL-89  Beveled Cap Trim (PBR Panel)</v>
      </c>
      <c r="Y96" s="212" t="s">
        <v>1564</v>
      </c>
    </row>
    <row r="97" spans="1:25" ht="12.75" customHeight="1" x14ac:dyDescent="0.3">
      <c r="F97" s="105"/>
      <c r="P97" s="133" t="s">
        <v>607</v>
      </c>
      <c r="Q97" s="213" t="s">
        <v>851</v>
      </c>
      <c r="R97" s="218" t="str">
        <f t="shared" si="1"/>
        <v>FL-90  Fascia Cap Trim</v>
      </c>
      <c r="Y97" s="212" t="s">
        <v>1565</v>
      </c>
    </row>
    <row r="98" spans="1:25" ht="12.75" customHeight="1" x14ac:dyDescent="0.3">
      <c r="F98" s="105"/>
      <c r="P98" s="133" t="s">
        <v>608</v>
      </c>
      <c r="Q98" s="213" t="s">
        <v>850</v>
      </c>
      <c r="R98" s="218" t="str">
        <f t="shared" si="1"/>
        <v>FL-91  Beveled Cap Trim (PBU Panel)</v>
      </c>
      <c r="Y98" s="212" t="s">
        <v>1566</v>
      </c>
    </row>
    <row r="99" spans="1:25" ht="12.75" customHeight="1" x14ac:dyDescent="0.3">
      <c r="D99" t="s">
        <v>496</v>
      </c>
      <c r="F99" s="105"/>
      <c r="I99" t="s">
        <v>497</v>
      </c>
      <c r="K99" t="s">
        <v>498</v>
      </c>
      <c r="P99" s="133" t="s">
        <v>609</v>
      </c>
      <c r="Q99" s="213" t="s">
        <v>849</v>
      </c>
      <c r="R99" s="218" t="str">
        <f t="shared" si="1"/>
        <v>FL-92  Canopy Eave Trim w/o Soffit</v>
      </c>
      <c r="Y99" s="212" t="s">
        <v>1567</v>
      </c>
    </row>
    <row r="100" spans="1:25" ht="12.75" customHeight="1" x14ac:dyDescent="0.3">
      <c r="D100" s="39" t="s">
        <v>1401</v>
      </c>
      <c r="F100" s="105"/>
      <c r="I100" t="s">
        <v>429</v>
      </c>
      <c r="K100" t="s">
        <v>493</v>
      </c>
      <c r="P100" s="133" t="s">
        <v>610</v>
      </c>
      <c r="Q100" s="213" t="s">
        <v>848</v>
      </c>
      <c r="R100" s="218" t="str">
        <f t="shared" si="1"/>
        <v>FL-93  Canopy Eave Trim w/ Soffit (PBR Panel)</v>
      </c>
      <c r="Y100" s="212" t="s">
        <v>1568</v>
      </c>
    </row>
    <row r="101" spans="1:25" ht="12.75" customHeight="1" x14ac:dyDescent="0.3">
      <c r="D101" s="39" t="s">
        <v>1402</v>
      </c>
      <c r="F101" s="105"/>
      <c r="I101" t="s">
        <v>491</v>
      </c>
      <c r="K101" t="s">
        <v>494</v>
      </c>
      <c r="P101" s="133" t="s">
        <v>611</v>
      </c>
      <c r="Q101" s="213" t="s">
        <v>847</v>
      </c>
      <c r="R101" s="218" t="str">
        <f t="shared" si="1"/>
        <v>FL-94  Canopy Eave Trim w/ Soffit (PBU Panel)</v>
      </c>
      <c r="Y101" s="212" t="s">
        <v>1569</v>
      </c>
    </row>
    <row r="102" spans="1:25" ht="12.75" customHeight="1" x14ac:dyDescent="0.3">
      <c r="D102" s="39" t="s">
        <v>1403</v>
      </c>
      <c r="F102" s="105"/>
      <c r="P102" s="133" t="s">
        <v>612</v>
      </c>
      <c r="Q102" s="213" t="s">
        <v>846</v>
      </c>
      <c r="R102" s="218" t="str">
        <f t="shared" si="1"/>
        <v>FL-95  Jamb Trim (RVPBU Panel)</v>
      </c>
      <c r="Y102" s="212" t="s">
        <v>1570</v>
      </c>
    </row>
    <row r="103" spans="1:25" ht="12.75" customHeight="1" x14ac:dyDescent="0.3">
      <c r="D103" s="39" t="s">
        <v>1404</v>
      </c>
      <c r="F103" s="105"/>
      <c r="P103" s="133" t="s">
        <v>613</v>
      </c>
      <c r="Q103" s="213" t="s">
        <v>845</v>
      </c>
      <c r="R103" s="218" t="str">
        <f t="shared" si="1"/>
        <v>FL-96  Rafter Closure Trim (PBR Panel)</v>
      </c>
      <c r="Y103" s="212" t="s">
        <v>1571</v>
      </c>
    </row>
    <row r="104" spans="1:25" ht="12.75" customHeight="1" x14ac:dyDescent="0.3">
      <c r="D104" t="s">
        <v>499</v>
      </c>
      <c r="F104" s="105"/>
      <c r="G104" t="s">
        <v>500</v>
      </c>
      <c r="K104" s="39" t="s">
        <v>673</v>
      </c>
      <c r="P104" s="133" t="s">
        <v>614</v>
      </c>
      <c r="Q104" s="213" t="s">
        <v>844</v>
      </c>
      <c r="R104" s="218" t="str">
        <f t="shared" si="1"/>
        <v>FL-97  Rafter Closure Trim (PBU Panel)</v>
      </c>
      <c r="Y104" s="212" t="s">
        <v>1572</v>
      </c>
    </row>
    <row r="105" spans="1:25" ht="12.75" customHeight="1" x14ac:dyDescent="0.3">
      <c r="D105" t="s">
        <v>503</v>
      </c>
      <c r="F105" s="105"/>
      <c r="G105" t="s">
        <v>501</v>
      </c>
      <c r="K105" s="39" t="s">
        <v>674</v>
      </c>
      <c r="P105" s="215" t="s">
        <v>615</v>
      </c>
      <c r="Q105" s="216" t="s">
        <v>843</v>
      </c>
      <c r="R105" s="218" t="str">
        <f t="shared" si="1"/>
        <v>FL-98  Corner Trim - Open Wall (PBU Panel)</v>
      </c>
      <c r="Y105" s="212" t="s">
        <v>1573</v>
      </c>
    </row>
    <row r="106" spans="1:25" ht="12.75" customHeight="1" x14ac:dyDescent="0.3">
      <c r="D106" t="s">
        <v>504</v>
      </c>
      <c r="F106" s="105"/>
      <c r="G106" t="s">
        <v>502</v>
      </c>
      <c r="K106" s="39" t="s">
        <v>675</v>
      </c>
      <c r="P106" s="133" t="s">
        <v>616</v>
      </c>
      <c r="Q106" s="213" t="s">
        <v>842</v>
      </c>
      <c r="R106" s="218" t="str">
        <f t="shared" si="1"/>
        <v>FL-100  Roll Form Downspout</v>
      </c>
      <c r="Y106" s="212" t="s">
        <v>1574</v>
      </c>
    </row>
    <row r="107" spans="1:25" ht="12.75" customHeight="1" x14ac:dyDescent="0.3">
      <c r="D107" t="s">
        <v>505</v>
      </c>
      <c r="F107" s="105"/>
      <c r="P107" s="133" t="s">
        <v>617</v>
      </c>
      <c r="Q107" s="213" t="s">
        <v>841</v>
      </c>
      <c r="R107" s="218" t="str">
        <f t="shared" si="1"/>
        <v>FL-101  Roll Form Downspout (72º Kickout)</v>
      </c>
      <c r="Y107" s="212" t="s">
        <v>1575</v>
      </c>
    </row>
    <row r="108" spans="1:25" ht="12.75" customHeight="1" x14ac:dyDescent="0.3">
      <c r="D108" t="s">
        <v>506</v>
      </c>
      <c r="F108" s="105"/>
      <c r="P108" s="133" t="s">
        <v>618</v>
      </c>
      <c r="Q108" s="213" t="s">
        <v>840</v>
      </c>
      <c r="R108" s="218" t="str">
        <f t="shared" si="1"/>
        <v>FL-102  Roll Form Downspout (45º Offset)</v>
      </c>
      <c r="Y108" s="212" t="s">
        <v>1576</v>
      </c>
    </row>
    <row r="109" spans="1:25" ht="12.75" customHeight="1" x14ac:dyDescent="0.3">
      <c r="D109" t="s">
        <v>507</v>
      </c>
      <c r="F109" s="105"/>
      <c r="P109" s="133" t="s">
        <v>1334</v>
      </c>
      <c r="Q109" s="213" t="s">
        <v>840</v>
      </c>
      <c r="R109" s="218" t="str">
        <f t="shared" si="1"/>
        <v>FL-102A  Roll Form Downspout (45º Offset)</v>
      </c>
      <c r="Y109" s="212" t="s">
        <v>1577</v>
      </c>
    </row>
    <row r="110" spans="1:25" ht="12.75" customHeight="1" x14ac:dyDescent="0.3">
      <c r="D110" t="s">
        <v>508</v>
      </c>
      <c r="F110" s="105"/>
      <c r="P110" s="133" t="s">
        <v>619</v>
      </c>
      <c r="Q110" s="213" t="s">
        <v>63</v>
      </c>
      <c r="R110" s="218" t="str">
        <f t="shared" si="1"/>
        <v>FL-103  Roll Form Downspout (85º Offset)</v>
      </c>
      <c r="Y110" s="212" t="s">
        <v>1578</v>
      </c>
    </row>
    <row r="111" spans="1:25" ht="12.75" customHeight="1" x14ac:dyDescent="0.3">
      <c r="A111" t="s">
        <v>981</v>
      </c>
      <c r="D111" t="s">
        <v>509</v>
      </c>
      <c r="F111" s="105" t="s">
        <v>1142</v>
      </c>
      <c r="P111" s="133" t="s">
        <v>1335</v>
      </c>
      <c r="Q111" s="213" t="s">
        <v>63</v>
      </c>
      <c r="R111" s="218" t="str">
        <f t="shared" si="1"/>
        <v>FL-103A  Roll Form Downspout (85º Offset)</v>
      </c>
      <c r="Y111" s="212" t="s">
        <v>1579</v>
      </c>
    </row>
    <row r="112" spans="1:25" ht="12.75" customHeight="1" x14ac:dyDescent="0.3">
      <c r="A112" t="s">
        <v>982</v>
      </c>
      <c r="B112" t="s">
        <v>1136</v>
      </c>
      <c r="D112" t="s">
        <v>510</v>
      </c>
      <c r="F112" t="s">
        <v>1695</v>
      </c>
      <c r="G112" t="s">
        <v>1137</v>
      </c>
      <c r="P112" s="133" t="s">
        <v>620</v>
      </c>
      <c r="Q112" s="213" t="s">
        <v>839</v>
      </c>
      <c r="R112" s="218" t="str">
        <f t="shared" si="1"/>
        <v>FL-104  Roll Form Downspout Strap</v>
      </c>
      <c r="Y112" s="212" t="s">
        <v>1580</v>
      </c>
    </row>
    <row r="113" spans="1:25" ht="12.75" customHeight="1" x14ac:dyDescent="0.3">
      <c r="A113" t="s">
        <v>983</v>
      </c>
      <c r="B113" t="s">
        <v>1137</v>
      </c>
      <c r="F113" t="s">
        <v>1109</v>
      </c>
      <c r="G113" t="s">
        <v>1110</v>
      </c>
      <c r="P113" s="133" t="s">
        <v>621</v>
      </c>
      <c r="Q113" s="213" t="s">
        <v>894</v>
      </c>
      <c r="R113" s="218" t="str">
        <f t="shared" si="1"/>
        <v>FL-111  Northern 7 1/4" Gutter</v>
      </c>
      <c r="Y113" s="212" t="s">
        <v>1581</v>
      </c>
    </row>
    <row r="114" spans="1:25" ht="12.75" customHeight="1" x14ac:dyDescent="0.3">
      <c r="A114" t="s">
        <v>984</v>
      </c>
      <c r="B114" t="s">
        <v>1138</v>
      </c>
      <c r="F114" t="s">
        <v>1111</v>
      </c>
      <c r="G114" t="s">
        <v>1112</v>
      </c>
      <c r="P114" s="133" t="s">
        <v>831</v>
      </c>
      <c r="Q114" s="213" t="s">
        <v>1275</v>
      </c>
      <c r="R114" s="218" t="str">
        <f t="shared" si="1"/>
        <v>FL-111 R  Northern 7 1/4" Gutter Mitered Rt</v>
      </c>
      <c r="Y114" s="212" t="s">
        <v>1582</v>
      </c>
    </row>
    <row r="115" spans="1:25" ht="12.75" customHeight="1" x14ac:dyDescent="0.3">
      <c r="A115" t="s">
        <v>985</v>
      </c>
      <c r="B115" t="s">
        <v>1139</v>
      </c>
      <c r="F115" t="s">
        <v>1113</v>
      </c>
      <c r="G115" t="s">
        <v>1114</v>
      </c>
      <c r="P115" s="133" t="s">
        <v>830</v>
      </c>
      <c r="Q115" s="213" t="s">
        <v>1274</v>
      </c>
      <c r="R115" s="218" t="str">
        <f t="shared" si="1"/>
        <v>FL-111 L  Northern 7 1/4" Gutter Mitered Lt</v>
      </c>
      <c r="Y115" s="212" t="s">
        <v>1583</v>
      </c>
    </row>
    <row r="116" spans="1:25" ht="12.75" customHeight="1" x14ac:dyDescent="0.3">
      <c r="A116" t="s">
        <v>986</v>
      </c>
      <c r="B116" t="s">
        <v>1140</v>
      </c>
      <c r="F116" t="s">
        <v>1115</v>
      </c>
      <c r="G116" t="s">
        <v>1116</v>
      </c>
      <c r="P116" s="133" t="s">
        <v>829</v>
      </c>
      <c r="Q116" s="213" t="s">
        <v>1273</v>
      </c>
      <c r="R116" s="218" t="str">
        <f t="shared" si="1"/>
        <v>FL-112 R  Northern 7 1/4" Gutter End Cap Rt</v>
      </c>
      <c r="Y116" s="212" t="s">
        <v>1584</v>
      </c>
    </row>
    <row r="117" spans="1:25" ht="12.75" customHeight="1" x14ac:dyDescent="0.3">
      <c r="A117" t="s">
        <v>987</v>
      </c>
      <c r="B117" t="s">
        <v>1141</v>
      </c>
      <c r="F117" t="s">
        <v>1117</v>
      </c>
      <c r="G117" t="s">
        <v>1118</v>
      </c>
      <c r="P117" s="133" t="s">
        <v>828</v>
      </c>
      <c r="Q117" s="213" t="s">
        <v>1272</v>
      </c>
      <c r="R117" s="218" t="str">
        <f t="shared" si="1"/>
        <v>FL-112 L  Northern 7 1/4" Gutter End Cap Lt</v>
      </c>
      <c r="Y117" s="212" t="s">
        <v>1585</v>
      </c>
    </row>
    <row r="118" spans="1:25" ht="12.75" customHeight="1" x14ac:dyDescent="0.3">
      <c r="A118" t="s">
        <v>988</v>
      </c>
      <c r="B118" t="s">
        <v>1055</v>
      </c>
      <c r="F118" t="s">
        <v>1119</v>
      </c>
      <c r="G118" t="s">
        <v>1133</v>
      </c>
      <c r="P118" s="133" t="s">
        <v>622</v>
      </c>
      <c r="Q118" s="213" t="s">
        <v>895</v>
      </c>
      <c r="R118" s="218" t="str">
        <f t="shared" si="1"/>
        <v>FL-114  Northern 8" Gutter</v>
      </c>
      <c r="Y118" s="212" t="s">
        <v>1586</v>
      </c>
    </row>
    <row r="119" spans="1:25" ht="12.75" customHeight="1" x14ac:dyDescent="0.3">
      <c r="A119" t="s">
        <v>989</v>
      </c>
      <c r="B119" t="s">
        <v>1056</v>
      </c>
      <c r="F119" t="s">
        <v>1134</v>
      </c>
      <c r="G119" t="s">
        <v>1135</v>
      </c>
      <c r="P119" s="133" t="s">
        <v>822</v>
      </c>
      <c r="Q119" s="213" t="s">
        <v>1271</v>
      </c>
      <c r="R119" s="218" t="str">
        <f t="shared" si="1"/>
        <v>FL-114 R  Northern 8" Gutter Mitered Rt</v>
      </c>
      <c r="Y119" s="212" t="s">
        <v>1601</v>
      </c>
    </row>
    <row r="120" spans="1:25" ht="12.75" customHeight="1" x14ac:dyDescent="0.3">
      <c r="A120" t="s">
        <v>990</v>
      </c>
      <c r="B120" t="s">
        <v>1057</v>
      </c>
      <c r="F120" s="105"/>
      <c r="P120" s="133" t="s">
        <v>827</v>
      </c>
      <c r="Q120" s="213" t="s">
        <v>1270</v>
      </c>
      <c r="R120" s="218" t="str">
        <f t="shared" si="1"/>
        <v>FL-114 L  Northern 8" Gutter Mitered Lt</v>
      </c>
      <c r="Y120" s="212" t="s">
        <v>1602</v>
      </c>
    </row>
    <row r="121" spans="1:25" ht="12.75" customHeight="1" x14ac:dyDescent="0.3">
      <c r="A121" t="s">
        <v>991</v>
      </c>
      <c r="B121" t="s">
        <v>1058</v>
      </c>
      <c r="F121" s="105"/>
      <c r="P121" s="133" t="s">
        <v>826</v>
      </c>
      <c r="Q121" s="213" t="s">
        <v>1269</v>
      </c>
      <c r="R121" s="218" t="str">
        <f t="shared" si="1"/>
        <v>FL-115 R  Northern 8" Gutter End Cap Rt</v>
      </c>
      <c r="Y121" s="212" t="s">
        <v>1603</v>
      </c>
    </row>
    <row r="122" spans="1:25" ht="12.75" customHeight="1" x14ac:dyDescent="0.3">
      <c r="A122" t="s">
        <v>992</v>
      </c>
      <c r="B122" t="s">
        <v>1059</v>
      </c>
      <c r="F122" s="105"/>
      <c r="P122" s="133" t="s">
        <v>825</v>
      </c>
      <c r="Q122" s="213" t="s">
        <v>1268</v>
      </c>
      <c r="R122" s="218" t="str">
        <f t="shared" si="1"/>
        <v>FL-115 L  Northern 8" Gutter End Cap Lt</v>
      </c>
      <c r="Y122" s="212" t="s">
        <v>1604</v>
      </c>
    </row>
    <row r="123" spans="1:25" ht="12.75" customHeight="1" x14ac:dyDescent="0.3">
      <c r="A123" t="s">
        <v>993</v>
      </c>
      <c r="B123" t="s">
        <v>1059</v>
      </c>
      <c r="F123" s="105"/>
      <c r="P123" s="133" t="s">
        <v>824</v>
      </c>
      <c r="Q123" s="213" t="s">
        <v>1269</v>
      </c>
      <c r="R123" s="218" t="str">
        <f t="shared" si="1"/>
        <v>FL-116 R  Northern 8" Gutter End Cap Rt</v>
      </c>
      <c r="Y123" s="212" t="s">
        <v>1605</v>
      </c>
    </row>
    <row r="124" spans="1:25" ht="12.75" customHeight="1" x14ac:dyDescent="0.3">
      <c r="A124" t="s">
        <v>994</v>
      </c>
      <c r="B124" t="s">
        <v>1060</v>
      </c>
      <c r="F124" s="105"/>
      <c r="P124" s="133" t="s">
        <v>823</v>
      </c>
      <c r="Q124" s="213" t="s">
        <v>1268</v>
      </c>
      <c r="R124" s="218" t="str">
        <f t="shared" si="1"/>
        <v>FL-116 L  Northern 8" Gutter End Cap Lt</v>
      </c>
      <c r="Y124" s="212" t="s">
        <v>1606</v>
      </c>
    </row>
    <row r="125" spans="1:25" ht="12.75" customHeight="1" x14ac:dyDescent="0.3">
      <c r="A125" t="s">
        <v>995</v>
      </c>
      <c r="B125" t="s">
        <v>1060</v>
      </c>
      <c r="F125" s="105"/>
      <c r="P125" s="133" t="s">
        <v>623</v>
      </c>
      <c r="Q125" s="213" t="s">
        <v>897</v>
      </c>
      <c r="R125" s="218" t="str">
        <f t="shared" si="1"/>
        <v>FL-117  Northern 10" Gutter</v>
      </c>
      <c r="Y125" s="212" t="s">
        <v>1607</v>
      </c>
    </row>
    <row r="126" spans="1:25" ht="12.75" customHeight="1" x14ac:dyDescent="0.3">
      <c r="A126" t="s">
        <v>996</v>
      </c>
      <c r="B126" t="s">
        <v>1061</v>
      </c>
      <c r="F126" s="105"/>
      <c r="P126" s="133" t="s">
        <v>820</v>
      </c>
      <c r="Q126" s="213" t="s">
        <v>1267</v>
      </c>
      <c r="R126" s="218" t="str">
        <f t="shared" si="1"/>
        <v>FL-117 R  Northern 10" Gutter Mitered Rt</v>
      </c>
      <c r="Y126" s="212" t="s">
        <v>1608</v>
      </c>
    </row>
    <row r="127" spans="1:25" ht="12.75" customHeight="1" x14ac:dyDescent="0.3">
      <c r="A127" t="s">
        <v>997</v>
      </c>
      <c r="B127" t="s">
        <v>1061</v>
      </c>
      <c r="F127" s="105"/>
      <c r="P127" s="133" t="s">
        <v>821</v>
      </c>
      <c r="Q127" s="213" t="s">
        <v>1266</v>
      </c>
      <c r="R127" s="218" t="str">
        <f t="shared" si="1"/>
        <v>FL-117 L  Northern 10" Gutter Mitered Lt</v>
      </c>
      <c r="Y127" s="212" t="s">
        <v>1609</v>
      </c>
    </row>
    <row r="128" spans="1:25" ht="12.75" customHeight="1" x14ac:dyDescent="0.3">
      <c r="A128" t="s">
        <v>998</v>
      </c>
      <c r="B128" t="s">
        <v>1061</v>
      </c>
      <c r="F128" s="105"/>
      <c r="P128" s="133" t="s">
        <v>818</v>
      </c>
      <c r="Q128" s="213" t="s">
        <v>1265</v>
      </c>
      <c r="R128" s="218" t="str">
        <f t="shared" si="1"/>
        <v>FL-118 R  Northern 10" Gutter End Cap Rt</v>
      </c>
      <c r="Y128" s="212" t="s">
        <v>1610</v>
      </c>
    </row>
    <row r="129" spans="1:25" ht="12.75" customHeight="1" x14ac:dyDescent="0.3">
      <c r="A129" t="s">
        <v>999</v>
      </c>
      <c r="B129" t="s">
        <v>1061</v>
      </c>
      <c r="F129" s="105"/>
      <c r="P129" s="133" t="s">
        <v>819</v>
      </c>
      <c r="Q129" s="213" t="s">
        <v>1264</v>
      </c>
      <c r="R129" s="218" t="str">
        <f t="shared" si="1"/>
        <v>FL-118 L  Northern 10" Gutter End Cap Lt</v>
      </c>
      <c r="Y129" s="212" t="s">
        <v>1617</v>
      </c>
    </row>
    <row r="130" spans="1:25" ht="12.75" customHeight="1" x14ac:dyDescent="0.3">
      <c r="A130" t="s">
        <v>1000</v>
      </c>
      <c r="B130" t="s">
        <v>1062</v>
      </c>
      <c r="F130" s="105"/>
      <c r="P130" s="133" t="s">
        <v>788</v>
      </c>
      <c r="Q130" s="213" t="s">
        <v>1265</v>
      </c>
      <c r="R130" s="218" t="str">
        <f t="shared" si="1"/>
        <v>FL-119 R  Northern 10" Gutter End Cap Rt</v>
      </c>
      <c r="Y130" s="212" t="s">
        <v>1618</v>
      </c>
    </row>
    <row r="131" spans="1:25" ht="12.75" customHeight="1" x14ac:dyDescent="0.3">
      <c r="A131" t="s">
        <v>1002</v>
      </c>
      <c r="B131" t="s">
        <v>1063</v>
      </c>
      <c r="F131" s="105"/>
      <c r="P131" s="133" t="s">
        <v>789</v>
      </c>
      <c r="Q131" s="213" t="s">
        <v>1264</v>
      </c>
      <c r="R131" s="218" t="str">
        <f t="shared" ref="R131:R200" si="2">$P131 &amp; "  " &amp; $Q131</f>
        <v>FL-119 L  Northern 10" Gutter End Cap Lt</v>
      </c>
      <c r="Y131" s="212" t="s">
        <v>1619</v>
      </c>
    </row>
    <row r="132" spans="1:25" ht="12.75" customHeight="1" x14ac:dyDescent="0.3">
      <c r="A132" t="s">
        <v>1001</v>
      </c>
      <c r="B132" t="s">
        <v>1064</v>
      </c>
      <c r="F132" s="105"/>
      <c r="P132" s="133" t="s">
        <v>624</v>
      </c>
      <c r="Q132" s="213" t="s">
        <v>896</v>
      </c>
      <c r="R132" s="218" t="str">
        <f t="shared" si="2"/>
        <v>FL-120  Northern 7 1/4" High Eave Trim</v>
      </c>
      <c r="Y132" s="212" t="s">
        <v>1620</v>
      </c>
    </row>
    <row r="133" spans="1:25" ht="12.75" customHeight="1" x14ac:dyDescent="0.3">
      <c r="A133" t="s">
        <v>1003</v>
      </c>
      <c r="B133" t="s">
        <v>1065</v>
      </c>
      <c r="F133" s="105"/>
      <c r="P133" s="133" t="s">
        <v>857</v>
      </c>
      <c r="Q133" s="213" t="s">
        <v>1263</v>
      </c>
      <c r="R133" s="218" t="str">
        <f t="shared" si="2"/>
        <v>FL-120 R  Northern 7 1/4" High Eave Trim Mitered Rt</v>
      </c>
      <c r="Y133" s="212" t="s">
        <v>1621</v>
      </c>
    </row>
    <row r="134" spans="1:25" ht="12.75" customHeight="1" x14ac:dyDescent="0.3">
      <c r="A134" t="s">
        <v>1004</v>
      </c>
      <c r="B134" t="s">
        <v>1066</v>
      </c>
      <c r="F134" s="105"/>
      <c r="P134" s="133" t="s">
        <v>858</v>
      </c>
      <c r="Q134" s="213" t="s">
        <v>1262</v>
      </c>
      <c r="R134" s="218" t="str">
        <f t="shared" si="2"/>
        <v>FL-120 L  Northern 7 1/4" High Eave Trim Mitered Lt</v>
      </c>
      <c r="Y134" s="212" t="s">
        <v>1622</v>
      </c>
    </row>
    <row r="135" spans="1:25" ht="12.75" customHeight="1" x14ac:dyDescent="0.3">
      <c r="A135" t="s">
        <v>1005</v>
      </c>
      <c r="B135" t="s">
        <v>1066</v>
      </c>
      <c r="F135" s="105"/>
      <c r="P135" s="133" t="s">
        <v>625</v>
      </c>
      <c r="Q135" s="213" t="s">
        <v>891</v>
      </c>
      <c r="R135" s="218" t="str">
        <f t="shared" si="2"/>
        <v>FL-121  Northern 10" High Eave Trim (PBR Panel)</v>
      </c>
      <c r="Y135" s="212" t="s">
        <v>1623</v>
      </c>
    </row>
    <row r="136" spans="1:25" ht="12.75" customHeight="1" x14ac:dyDescent="0.3">
      <c r="A136" t="s">
        <v>1006</v>
      </c>
      <c r="B136" t="s">
        <v>1067</v>
      </c>
      <c r="F136" s="105"/>
      <c r="P136" s="133" t="s">
        <v>889</v>
      </c>
      <c r="Q136" s="213" t="s">
        <v>1261</v>
      </c>
      <c r="R136" s="218" t="str">
        <f t="shared" si="2"/>
        <v>FL-121 R  Northern 10" High Eave Trim Mitered Rt (PBR)</v>
      </c>
      <c r="Y136" s="212" t="s">
        <v>1624</v>
      </c>
    </row>
    <row r="137" spans="1:25" ht="12.75" customHeight="1" x14ac:dyDescent="0.3">
      <c r="A137" t="s">
        <v>1007</v>
      </c>
      <c r="B137" t="s">
        <v>1068</v>
      </c>
      <c r="F137" s="105"/>
      <c r="P137" s="133" t="s">
        <v>890</v>
      </c>
      <c r="Q137" s="213" t="s">
        <v>1260</v>
      </c>
      <c r="R137" s="218" t="str">
        <f t="shared" si="2"/>
        <v>FL-121 L  Northern 10" High Eave Trim Mitered Lt (PBR)</v>
      </c>
      <c r="Y137" s="212" t="s">
        <v>1625</v>
      </c>
    </row>
    <row r="138" spans="1:25" ht="12.75" customHeight="1" x14ac:dyDescent="0.3">
      <c r="A138" t="s">
        <v>1008</v>
      </c>
      <c r="B138" t="s">
        <v>1069</v>
      </c>
      <c r="F138" s="105"/>
      <c r="P138" s="133" t="s">
        <v>888</v>
      </c>
      <c r="Q138" s="213" t="s">
        <v>1259</v>
      </c>
      <c r="R138" s="218" t="str">
        <f t="shared" si="2"/>
        <v>FL-122 R  Northern 7 1/4" High Eave End Cap Rt</v>
      </c>
      <c r="Y138" s="212" t="s">
        <v>1626</v>
      </c>
    </row>
    <row r="139" spans="1:25" ht="12.75" customHeight="1" x14ac:dyDescent="0.3">
      <c r="A139" t="s">
        <v>1009</v>
      </c>
      <c r="B139" t="s">
        <v>1070</v>
      </c>
      <c r="F139" s="105"/>
      <c r="P139" s="133" t="s">
        <v>887</v>
      </c>
      <c r="Q139" s="213" t="s">
        <v>1258</v>
      </c>
      <c r="R139" s="218" t="str">
        <f t="shared" si="2"/>
        <v>FL-122 L  Northern 7 1/4" High Eave End Cap Lt</v>
      </c>
      <c r="Y139" s="212" t="s">
        <v>1627</v>
      </c>
    </row>
    <row r="140" spans="1:25" ht="12.75" customHeight="1" x14ac:dyDescent="0.3">
      <c r="A140" t="s">
        <v>1010</v>
      </c>
      <c r="B140" t="s">
        <v>1071</v>
      </c>
      <c r="F140" s="105" t="s">
        <v>1149</v>
      </c>
      <c r="P140" s="133" t="s">
        <v>883</v>
      </c>
      <c r="Q140" s="213" t="s">
        <v>1257</v>
      </c>
      <c r="R140" s="218" t="str">
        <f t="shared" si="2"/>
        <v>FL-123 R  Northern 10" High Eave End Cap Rt</v>
      </c>
      <c r="Y140" s="212" t="s">
        <v>1628</v>
      </c>
    </row>
    <row r="141" spans="1:25" ht="12.75" customHeight="1" x14ac:dyDescent="0.3">
      <c r="A141" t="s">
        <v>1011</v>
      </c>
      <c r="B141" t="s">
        <v>1072</v>
      </c>
      <c r="F141" t="s">
        <v>805</v>
      </c>
      <c r="G141" t="s">
        <v>806</v>
      </c>
      <c r="P141" s="133" t="s">
        <v>884</v>
      </c>
      <c r="Q141" s="213" t="s">
        <v>1256</v>
      </c>
      <c r="R141" s="218" t="str">
        <f t="shared" si="2"/>
        <v>FL-123 L  Northern 10" High Eave End Cap Lt</v>
      </c>
      <c r="Y141" s="212" t="s">
        <v>1629</v>
      </c>
    </row>
    <row r="142" spans="1:25" ht="12.75" customHeight="1" x14ac:dyDescent="0.3">
      <c r="A142" t="s">
        <v>1012</v>
      </c>
      <c r="B142" t="s">
        <v>1073</v>
      </c>
      <c r="F142" t="s">
        <v>807</v>
      </c>
      <c r="G142" t="s">
        <v>806</v>
      </c>
      <c r="P142" s="133" t="s">
        <v>626</v>
      </c>
      <c r="Q142" s="213" t="s">
        <v>882</v>
      </c>
      <c r="R142" s="218" t="str">
        <f t="shared" si="2"/>
        <v>FL-124  Northern 7 1/4" Rake Trim (PBR Panel)</v>
      </c>
      <c r="Y142" s="212" t="s">
        <v>1630</v>
      </c>
    </row>
    <row r="143" spans="1:25" ht="12.75" customHeight="1" x14ac:dyDescent="0.3">
      <c r="A143" t="s">
        <v>1013</v>
      </c>
      <c r="B143" t="s">
        <v>1074</v>
      </c>
      <c r="F143" t="s">
        <v>808</v>
      </c>
      <c r="G143" t="s">
        <v>806</v>
      </c>
      <c r="P143" s="133" t="s">
        <v>881</v>
      </c>
      <c r="Q143" s="213" t="s">
        <v>1255</v>
      </c>
      <c r="R143" s="218" t="str">
        <f t="shared" si="2"/>
        <v>FL-124 R  Northern 7 1/4" Rake Trim Mitered Rt (PBR Panel)</v>
      </c>
      <c r="Y143" s="212" t="s">
        <v>1631</v>
      </c>
    </row>
    <row r="144" spans="1:25" ht="12.75" customHeight="1" x14ac:dyDescent="0.3">
      <c r="A144" t="s">
        <v>1014</v>
      </c>
      <c r="B144" t="s">
        <v>1075</v>
      </c>
      <c r="F144" t="s">
        <v>809</v>
      </c>
      <c r="G144" t="s">
        <v>810</v>
      </c>
      <c r="P144" s="133" t="s">
        <v>885</v>
      </c>
      <c r="Q144" s="213" t="s">
        <v>1254</v>
      </c>
      <c r="R144" s="218" t="str">
        <f t="shared" si="2"/>
        <v>FL-124 L  Northern 7 1/4" Rake Trim Mitered Lt (PBR Panel)</v>
      </c>
      <c r="Y144" s="212" t="s">
        <v>1632</v>
      </c>
    </row>
    <row r="145" spans="1:25" ht="12.75" customHeight="1" x14ac:dyDescent="0.3">
      <c r="A145" t="s">
        <v>1015</v>
      </c>
      <c r="B145" t="s">
        <v>1076</v>
      </c>
      <c r="F145" t="s">
        <v>1157</v>
      </c>
      <c r="G145" t="s">
        <v>1195</v>
      </c>
      <c r="P145" s="133" t="s">
        <v>627</v>
      </c>
      <c r="Q145" s="213" t="s">
        <v>880</v>
      </c>
      <c r="R145" s="218" t="str">
        <f t="shared" si="2"/>
        <v>FL-125  Northern 10" Rake Trim (PBR Panel)</v>
      </c>
      <c r="Y145" s="212" t="s">
        <v>1633</v>
      </c>
    </row>
    <row r="146" spans="1:25" ht="12.75" customHeight="1" x14ac:dyDescent="0.3">
      <c r="A146" t="s">
        <v>1016</v>
      </c>
      <c r="B146" t="s">
        <v>1077</v>
      </c>
      <c r="F146" t="s">
        <v>1158</v>
      </c>
      <c r="G146" t="s">
        <v>1194</v>
      </c>
      <c r="P146" s="133" t="s">
        <v>879</v>
      </c>
      <c r="Q146" s="213" t="s">
        <v>1253</v>
      </c>
      <c r="R146" s="218" t="str">
        <f t="shared" si="2"/>
        <v>FL-125 R  Northern 10" Rake Trim Mitered Rt (PBR Panel)</v>
      </c>
      <c r="Y146" s="212" t="s">
        <v>1636</v>
      </c>
    </row>
    <row r="147" spans="1:25" ht="12.75" customHeight="1" x14ac:dyDescent="0.3">
      <c r="A147" t="s">
        <v>1017</v>
      </c>
      <c r="B147" t="s">
        <v>1078</v>
      </c>
      <c r="F147" t="s">
        <v>1152</v>
      </c>
      <c r="G147" t="s">
        <v>1193</v>
      </c>
      <c r="P147" s="133" t="s">
        <v>886</v>
      </c>
      <c r="Q147" s="213" t="s">
        <v>1252</v>
      </c>
      <c r="R147" s="218" t="str">
        <f t="shared" si="2"/>
        <v>FL-125 L  Northern 10" Rake Trim Mitered Lt (PBR Panel)</v>
      </c>
      <c r="Y147" s="212" t="s">
        <v>1637</v>
      </c>
    </row>
    <row r="148" spans="1:25" ht="12.75" customHeight="1" x14ac:dyDescent="0.3">
      <c r="A148" t="s">
        <v>1018</v>
      </c>
      <c r="B148" t="s">
        <v>1079</v>
      </c>
      <c r="F148" s="105" t="s">
        <v>1153</v>
      </c>
      <c r="G148" t="s">
        <v>1192</v>
      </c>
      <c r="P148" s="133" t="s">
        <v>877</v>
      </c>
      <c r="Q148" s="213" t="s">
        <v>1253</v>
      </c>
      <c r="R148" s="218" t="str">
        <f t="shared" si="2"/>
        <v>FL-126 R  Northern 10" Rake Trim Mitered Rt (PBR Panel)</v>
      </c>
      <c r="Y148" s="212" t="s">
        <v>1638</v>
      </c>
    </row>
    <row r="149" spans="1:25" ht="12.75" customHeight="1" x14ac:dyDescent="0.3">
      <c r="A149" t="s">
        <v>1019</v>
      </c>
      <c r="B149" t="s">
        <v>1080</v>
      </c>
      <c r="F149" s="105" t="s">
        <v>1154</v>
      </c>
      <c r="G149" t="s">
        <v>1192</v>
      </c>
      <c r="P149" s="133" t="s">
        <v>878</v>
      </c>
      <c r="Q149" s="213" t="s">
        <v>1252</v>
      </c>
      <c r="R149" s="218" t="str">
        <f t="shared" si="2"/>
        <v>FL-126 L  Northern 10" Rake Trim Mitered Lt (PBR Panel)</v>
      </c>
      <c r="Y149" s="212" t="s">
        <v>1639</v>
      </c>
    </row>
    <row r="150" spans="1:25" ht="12.75" customHeight="1" x14ac:dyDescent="0.3">
      <c r="A150" t="s">
        <v>1020</v>
      </c>
      <c r="B150" t="s">
        <v>1081</v>
      </c>
      <c r="F150" t="s">
        <v>1167</v>
      </c>
      <c r="G150" t="s">
        <v>1190</v>
      </c>
      <c r="P150" s="133" t="s">
        <v>876</v>
      </c>
      <c r="Q150" s="213" t="s">
        <v>1251</v>
      </c>
      <c r="R150" s="218" t="str">
        <f t="shared" si="2"/>
        <v>FL-127 R  Northern 10" Rake End Cap Rt (PBR Panel)</v>
      </c>
      <c r="Y150" s="212" t="s">
        <v>1640</v>
      </c>
    </row>
    <row r="151" spans="1:25" ht="12.75" customHeight="1" x14ac:dyDescent="0.3">
      <c r="A151" t="s">
        <v>1021</v>
      </c>
      <c r="B151" t="s">
        <v>1082</v>
      </c>
      <c r="F151" t="s">
        <v>1168</v>
      </c>
      <c r="G151" t="s">
        <v>1191</v>
      </c>
      <c r="P151" s="133" t="s">
        <v>875</v>
      </c>
      <c r="Q151" s="213" t="s">
        <v>1250</v>
      </c>
      <c r="R151" s="218" t="str">
        <f t="shared" si="2"/>
        <v>FL-127 L  Northern 10" Rake End Cap Lt (PBR Panel)</v>
      </c>
      <c r="Y151" s="212" t="s">
        <v>1641</v>
      </c>
    </row>
    <row r="152" spans="1:25" ht="12.75" customHeight="1" x14ac:dyDescent="0.3">
      <c r="A152" t="s">
        <v>1022</v>
      </c>
      <c r="B152" t="s">
        <v>1083</v>
      </c>
      <c r="F152" t="s">
        <v>1162</v>
      </c>
      <c r="G152" t="s">
        <v>1187</v>
      </c>
      <c r="P152" s="133" t="s">
        <v>628</v>
      </c>
      <c r="Q152" s="213" t="s">
        <v>874</v>
      </c>
      <c r="R152" s="218" t="str">
        <f t="shared" si="2"/>
        <v>FL-128  Northern 7 1/4" Peak Box (PBR Panel)</v>
      </c>
      <c r="Y152" s="212" t="s">
        <v>1642</v>
      </c>
    </row>
    <row r="153" spans="1:25" ht="12.75" customHeight="1" x14ac:dyDescent="0.3">
      <c r="A153" t="s">
        <v>1023</v>
      </c>
      <c r="B153" t="s">
        <v>1084</v>
      </c>
      <c r="F153" t="s">
        <v>1163</v>
      </c>
      <c r="G153" t="s">
        <v>1188</v>
      </c>
      <c r="P153" s="133" t="s">
        <v>629</v>
      </c>
      <c r="Q153" s="213" t="s">
        <v>874</v>
      </c>
      <c r="R153" s="218" t="str">
        <f t="shared" si="2"/>
        <v>FL-129  Northern 7 1/4" Peak Box (PBR Panel)</v>
      </c>
      <c r="Y153" s="212" t="s">
        <v>1643</v>
      </c>
    </row>
    <row r="154" spans="1:25" ht="12.75" customHeight="1" x14ac:dyDescent="0.3">
      <c r="A154" t="s">
        <v>1024</v>
      </c>
      <c r="B154" t="s">
        <v>1084</v>
      </c>
      <c r="F154" t="s">
        <v>1164</v>
      </c>
      <c r="G154" t="s">
        <v>1189</v>
      </c>
      <c r="P154" s="133" t="s">
        <v>630</v>
      </c>
      <c r="Q154" s="213" t="s">
        <v>873</v>
      </c>
      <c r="R154" s="218" t="str">
        <f t="shared" si="2"/>
        <v>FL-130  Northern 10" Peak Box (PBR Panel)</v>
      </c>
      <c r="Y154" s="212" t="s">
        <v>1644</v>
      </c>
    </row>
    <row r="155" spans="1:25" ht="12.75" customHeight="1" x14ac:dyDescent="0.3">
      <c r="A155" t="s">
        <v>1025</v>
      </c>
      <c r="B155" t="s">
        <v>1084</v>
      </c>
      <c r="F155" t="s">
        <v>1702</v>
      </c>
      <c r="G155" t="s">
        <v>1703</v>
      </c>
      <c r="P155" s="133" t="s">
        <v>631</v>
      </c>
      <c r="Q155" s="213" t="s">
        <v>873</v>
      </c>
      <c r="R155" s="218" t="str">
        <f t="shared" si="2"/>
        <v>FL-131  Northern 10" Peak Box (PBR Panel)</v>
      </c>
      <c r="Y155" s="212" t="s">
        <v>1653</v>
      </c>
    </row>
    <row r="156" spans="1:25" ht="12.75" customHeight="1" x14ac:dyDescent="0.3">
      <c r="A156" t="s">
        <v>1026</v>
      </c>
      <c r="B156" t="s">
        <v>1085</v>
      </c>
      <c r="F156" t="s">
        <v>1704</v>
      </c>
      <c r="G156" t="s">
        <v>1703</v>
      </c>
      <c r="P156" s="133" t="s">
        <v>632</v>
      </c>
      <c r="Q156" s="213" t="s">
        <v>872</v>
      </c>
      <c r="R156" s="218" t="str">
        <f t="shared" si="2"/>
        <v>FL-135  Gutter Clip - O.S. Gutter (PBR Panel)</v>
      </c>
      <c r="Y156" s="212" t="s">
        <v>1654</v>
      </c>
    </row>
    <row r="157" spans="1:25" ht="12.75" customHeight="1" x14ac:dyDescent="0.3">
      <c r="A157" t="s">
        <v>1027</v>
      </c>
      <c r="B157" t="s">
        <v>1086</v>
      </c>
      <c r="F157" t="s">
        <v>811</v>
      </c>
      <c r="G157" t="s">
        <v>812</v>
      </c>
      <c r="P157" s="133" t="s">
        <v>633</v>
      </c>
      <c r="Q157" s="213" t="s">
        <v>871</v>
      </c>
      <c r="R157" s="218" t="str">
        <f t="shared" si="2"/>
        <v>FL-136  Northern 10" Rake Trim (TS-324)</v>
      </c>
      <c r="Y157" s="212" t="s">
        <v>1655</v>
      </c>
    </row>
    <row r="158" spans="1:25" ht="12.75" customHeight="1" x14ac:dyDescent="0.3">
      <c r="A158" t="s">
        <v>1028</v>
      </c>
      <c r="B158" t="s">
        <v>1087</v>
      </c>
      <c r="F158" t="s">
        <v>1161</v>
      </c>
      <c r="G158" t="s">
        <v>1186</v>
      </c>
      <c r="P158" s="133" t="s">
        <v>870</v>
      </c>
      <c r="Q158" s="213" t="s">
        <v>1249</v>
      </c>
      <c r="R158" s="218" t="str">
        <f t="shared" si="2"/>
        <v>FL-137 R  Northern 10" Rake Trim Mitered Rt (TS-324)</v>
      </c>
      <c r="Y158" s="212" t="s">
        <v>1656</v>
      </c>
    </row>
    <row r="159" spans="1:25" ht="12.75" customHeight="1" x14ac:dyDescent="0.3">
      <c r="A159" t="s">
        <v>1029</v>
      </c>
      <c r="B159" t="s">
        <v>1088</v>
      </c>
      <c r="F159" t="s">
        <v>1169</v>
      </c>
      <c r="G159" t="s">
        <v>1184</v>
      </c>
      <c r="P159" s="133" t="s">
        <v>869</v>
      </c>
      <c r="Q159" s="213" t="s">
        <v>1248</v>
      </c>
      <c r="R159" s="218" t="str">
        <f t="shared" si="2"/>
        <v>FL-137 L  Northern 10" Rake Trim Mitered Lt (TS-324)</v>
      </c>
      <c r="Y159" s="212" t="s">
        <v>1657</v>
      </c>
    </row>
    <row r="160" spans="1:25" ht="12.75" customHeight="1" x14ac:dyDescent="0.3">
      <c r="A160" t="s">
        <v>1030</v>
      </c>
      <c r="B160" t="s">
        <v>1089</v>
      </c>
      <c r="F160" t="s">
        <v>1170</v>
      </c>
      <c r="G160" t="s">
        <v>1185</v>
      </c>
      <c r="P160" s="133" t="s">
        <v>867</v>
      </c>
      <c r="Q160" s="213" t="s">
        <v>1249</v>
      </c>
      <c r="R160" s="218" t="str">
        <f t="shared" si="2"/>
        <v>FL-138 R  Northern 10" Rake Trim Mitered Rt (TS-324)</v>
      </c>
      <c r="Y160" s="212" t="s">
        <v>1658</v>
      </c>
    </row>
    <row r="161" spans="1:25" ht="12.75" customHeight="1" x14ac:dyDescent="0.3">
      <c r="A161" t="s">
        <v>1031</v>
      </c>
      <c r="B161" t="s">
        <v>1090</v>
      </c>
      <c r="F161" t="s">
        <v>1165</v>
      </c>
      <c r="G161" t="s">
        <v>1182</v>
      </c>
      <c r="P161" s="133" t="s">
        <v>868</v>
      </c>
      <c r="Q161" s="213" t="s">
        <v>1248</v>
      </c>
      <c r="R161" s="218" t="str">
        <f t="shared" si="2"/>
        <v>FL-138 L  Northern 10" Rake Trim Mitered Lt (TS-324)</v>
      </c>
      <c r="Y161" s="212" t="s">
        <v>1659</v>
      </c>
    </row>
    <row r="162" spans="1:25" ht="12.75" customHeight="1" x14ac:dyDescent="0.3">
      <c r="A162" t="s">
        <v>1032</v>
      </c>
      <c r="B162" t="s">
        <v>1091</v>
      </c>
      <c r="F162" t="s">
        <v>1166</v>
      </c>
      <c r="G162" t="s">
        <v>1183</v>
      </c>
      <c r="P162" s="133" t="s">
        <v>634</v>
      </c>
      <c r="Q162" s="213" t="s">
        <v>866</v>
      </c>
      <c r="R162" s="218" t="str">
        <f t="shared" si="2"/>
        <v>FL-139  Northern 10" Peak Box (TS-324)</v>
      </c>
      <c r="Y162" s="212" t="s">
        <v>1660</v>
      </c>
    </row>
    <row r="163" spans="1:25" ht="12.75" customHeight="1" x14ac:dyDescent="0.3">
      <c r="A163" t="s">
        <v>1033</v>
      </c>
      <c r="B163" t="s">
        <v>1092</v>
      </c>
      <c r="F163" t="s">
        <v>1709</v>
      </c>
      <c r="G163" t="s">
        <v>913</v>
      </c>
      <c r="P163" s="133" t="s">
        <v>635</v>
      </c>
      <c r="Q163" s="213" t="s">
        <v>866</v>
      </c>
      <c r="R163" s="218" t="str">
        <f t="shared" si="2"/>
        <v>FL-140  Northern 10" Peak Box (TS-324)</v>
      </c>
      <c r="Y163" s="212" t="s">
        <v>1661</v>
      </c>
    </row>
    <row r="164" spans="1:25" ht="12.75" customHeight="1" x14ac:dyDescent="0.3">
      <c r="A164" t="s">
        <v>1034</v>
      </c>
      <c r="B164" t="s">
        <v>1093</v>
      </c>
      <c r="F164" t="s">
        <v>1160</v>
      </c>
      <c r="G164" t="s">
        <v>1181</v>
      </c>
      <c r="P164" s="133" t="s">
        <v>636</v>
      </c>
      <c r="Q164" s="213" t="s">
        <v>864</v>
      </c>
      <c r="R164" s="218" t="str">
        <f t="shared" si="2"/>
        <v>FL-141  Northern 10" High Eave Trim (TS-324)</v>
      </c>
      <c r="Y164" s="212" t="s">
        <v>1662</v>
      </c>
    </row>
    <row r="165" spans="1:25" ht="12.75" customHeight="1" x14ac:dyDescent="0.3">
      <c r="A165" t="s">
        <v>1035</v>
      </c>
      <c r="B165" t="s">
        <v>1094</v>
      </c>
      <c r="F165" s="105" t="s">
        <v>1159</v>
      </c>
      <c r="G165" t="s">
        <v>1180</v>
      </c>
      <c r="P165" s="133" t="s">
        <v>863</v>
      </c>
      <c r="Q165" s="213" t="s">
        <v>1247</v>
      </c>
      <c r="R165" s="218" t="str">
        <f t="shared" si="2"/>
        <v>FL-141 R  Northern 10" High Eave Trim Mitered Rt (TS-324)</v>
      </c>
      <c r="Y165" s="212" t="s">
        <v>1663</v>
      </c>
    </row>
    <row r="166" spans="1:25" ht="12.75" customHeight="1" x14ac:dyDescent="0.25">
      <c r="A166" t="s">
        <v>1036</v>
      </c>
      <c r="B166" t="s">
        <v>1095</v>
      </c>
      <c r="F166" s="105" t="s">
        <v>1150</v>
      </c>
      <c r="G166" t="s">
        <v>686</v>
      </c>
      <c r="P166" s="133" t="s">
        <v>865</v>
      </c>
      <c r="Q166" s="213" t="s">
        <v>1246</v>
      </c>
      <c r="R166" s="218" t="str">
        <f t="shared" si="2"/>
        <v>FL-141 L  Northern 10" High Eave Trim Mitered Lt (TS-324)</v>
      </c>
    </row>
    <row r="167" spans="1:25" ht="12.75" customHeight="1" x14ac:dyDescent="0.25">
      <c r="A167" t="s">
        <v>1038</v>
      </c>
      <c r="B167" t="s">
        <v>1092</v>
      </c>
      <c r="F167" s="105" t="s">
        <v>1155</v>
      </c>
      <c r="G167" t="s">
        <v>687</v>
      </c>
      <c r="P167" s="133" t="s">
        <v>861</v>
      </c>
      <c r="Q167" s="213" t="s">
        <v>1245</v>
      </c>
      <c r="R167" s="218" t="str">
        <f t="shared" si="2"/>
        <v>FL-142 R  Northern High Eave End Cap Rt (TS-324)</v>
      </c>
    </row>
    <row r="168" spans="1:25" ht="12.75" customHeight="1" x14ac:dyDescent="0.25">
      <c r="A168" t="s">
        <v>1037</v>
      </c>
      <c r="B168" t="s">
        <v>1096</v>
      </c>
      <c r="F168" s="105" t="s">
        <v>1156</v>
      </c>
      <c r="G168" t="s">
        <v>688</v>
      </c>
      <c r="P168" s="133" t="s">
        <v>862</v>
      </c>
      <c r="Q168" s="213" t="s">
        <v>1244</v>
      </c>
      <c r="R168" s="218" t="str">
        <f t="shared" si="2"/>
        <v>FL-142 L  Northern High Eave End Cap Lt (TS-324)</v>
      </c>
    </row>
    <row r="169" spans="1:25" ht="12.75" customHeight="1" x14ac:dyDescent="0.25">
      <c r="A169" t="s">
        <v>1039</v>
      </c>
      <c r="B169" t="s">
        <v>1097</v>
      </c>
      <c r="F169" s="105" t="s">
        <v>1173</v>
      </c>
      <c r="G169" t="s">
        <v>1179</v>
      </c>
      <c r="P169" s="133" t="s">
        <v>322</v>
      </c>
      <c r="Q169" s="213" t="s">
        <v>323</v>
      </c>
      <c r="R169" s="218" t="str">
        <f t="shared" si="2"/>
        <v>FL-143  Northern 10" Rake End Cap (SSR Roof)</v>
      </c>
    </row>
    <row r="170" spans="1:25" ht="12.75" customHeight="1" x14ac:dyDescent="0.25">
      <c r="A170" t="s">
        <v>1040</v>
      </c>
      <c r="B170" t="s">
        <v>1098</v>
      </c>
      <c r="F170" s="105" t="s">
        <v>1174</v>
      </c>
      <c r="G170" t="s">
        <v>1178</v>
      </c>
      <c r="P170" s="133" t="s">
        <v>859</v>
      </c>
      <c r="Q170" s="213" t="s">
        <v>1442</v>
      </c>
      <c r="R170" s="218" t="str">
        <f t="shared" si="2"/>
        <v>FL-144 R  Northern 7 1/4" Rake Trim to Eave Rt (PBR Panel)</v>
      </c>
    </row>
    <row r="171" spans="1:25" ht="12.75" customHeight="1" x14ac:dyDescent="0.25">
      <c r="A171" t="s">
        <v>1041</v>
      </c>
      <c r="B171" t="s">
        <v>1099</v>
      </c>
      <c r="F171" s="105" t="s">
        <v>1172</v>
      </c>
      <c r="G171" t="s">
        <v>1177</v>
      </c>
      <c r="P171" s="133" t="s">
        <v>860</v>
      </c>
      <c r="Q171" s="213" t="s">
        <v>1449</v>
      </c>
      <c r="R171" s="218" t="str">
        <f t="shared" si="2"/>
        <v>FL-144 L  Northern 7 1/4" Rake Trim to Eave Lt (PBR Panel)</v>
      </c>
    </row>
    <row r="172" spans="1:25" ht="12.75" customHeight="1" x14ac:dyDescent="0.25">
      <c r="A172" t="s">
        <v>1042</v>
      </c>
      <c r="B172" t="s">
        <v>1100</v>
      </c>
      <c r="F172" s="105" t="s">
        <v>1171</v>
      </c>
      <c r="G172" t="s">
        <v>1176</v>
      </c>
      <c r="P172" s="133" t="s">
        <v>892</v>
      </c>
      <c r="Q172" s="213" t="s">
        <v>1450</v>
      </c>
      <c r="R172" s="218" t="str">
        <f t="shared" si="2"/>
        <v>FL-145 R  Northern 10" Rake Trim to Eave Rt (PBR Panel)</v>
      </c>
    </row>
    <row r="173" spans="1:25" ht="12.75" customHeight="1" x14ac:dyDescent="0.25">
      <c r="A173" t="s">
        <v>1043</v>
      </c>
      <c r="B173" t="s">
        <v>1101</v>
      </c>
      <c r="F173" s="105" t="s">
        <v>1151</v>
      </c>
      <c r="G173" t="s">
        <v>1175</v>
      </c>
      <c r="P173" s="133" t="s">
        <v>893</v>
      </c>
      <c r="Q173" s="213" t="s">
        <v>1451</v>
      </c>
      <c r="R173" s="218" t="str">
        <f t="shared" si="2"/>
        <v>FL-145 L  Northern 10" Rake Trim to Eave Lt (PBR Panel)</v>
      </c>
    </row>
    <row r="174" spans="1:25" ht="12.75" customHeight="1" x14ac:dyDescent="0.25">
      <c r="A174" t="s">
        <v>1044</v>
      </c>
      <c r="B174" t="s">
        <v>1102</v>
      </c>
      <c r="F174" s="105"/>
      <c r="P174" s="133" t="s">
        <v>637</v>
      </c>
      <c r="Q174" s="213" t="s">
        <v>937</v>
      </c>
      <c r="R174" s="218" t="str">
        <f t="shared" si="2"/>
        <v>FL-146  Northern 7 1/4" Rake Trim (TS-324)</v>
      </c>
    </row>
    <row r="175" spans="1:25" ht="12.75" customHeight="1" x14ac:dyDescent="0.25">
      <c r="A175" t="s">
        <v>1045</v>
      </c>
      <c r="B175" t="s">
        <v>1107</v>
      </c>
      <c r="F175" s="105"/>
      <c r="P175" s="133" t="s">
        <v>935</v>
      </c>
      <c r="Q175" s="213" t="s">
        <v>1243</v>
      </c>
      <c r="R175" s="218" t="str">
        <f t="shared" si="2"/>
        <v>FL-146 R  Northern 7 1/4" Rake Trim Mitered Rt (TS-324)</v>
      </c>
    </row>
    <row r="176" spans="1:25" ht="12.75" customHeight="1" x14ac:dyDescent="0.25">
      <c r="A176" t="s">
        <v>1046</v>
      </c>
      <c r="B176" t="s">
        <v>1108</v>
      </c>
      <c r="F176" s="105"/>
      <c r="P176" s="133" t="s">
        <v>936</v>
      </c>
      <c r="Q176" s="213" t="s">
        <v>1242</v>
      </c>
      <c r="R176" s="218" t="str">
        <f t="shared" si="2"/>
        <v>FL-146 L  Northern 7 1/4" Rake Trim Mitered Lt (TS-324)</v>
      </c>
    </row>
    <row r="177" spans="1:18" ht="12.75" customHeight="1" x14ac:dyDescent="0.25">
      <c r="A177" t="s">
        <v>1047</v>
      </c>
      <c r="B177" t="s">
        <v>1143</v>
      </c>
      <c r="F177" s="105"/>
      <c r="P177" s="133" t="s">
        <v>638</v>
      </c>
      <c r="Q177" s="213" t="s">
        <v>934</v>
      </c>
      <c r="R177" s="218" t="str">
        <f t="shared" si="2"/>
        <v>FL-147  Northern 7 1/4" High Eave Trim (TS-324)</v>
      </c>
    </row>
    <row r="178" spans="1:18" ht="12.75" customHeight="1" x14ac:dyDescent="0.25">
      <c r="A178" t="s">
        <v>1048</v>
      </c>
      <c r="B178" t="s">
        <v>1144</v>
      </c>
      <c r="F178" s="105"/>
      <c r="P178" s="133" t="s">
        <v>932</v>
      </c>
      <c r="Q178" s="213" t="s">
        <v>1241</v>
      </c>
      <c r="R178" s="218" t="str">
        <f t="shared" si="2"/>
        <v>FL-147 R  Northern 7 1/4" High Eave Trim Mitered Rt (TS-324)</v>
      </c>
    </row>
    <row r="179" spans="1:18" ht="12.75" customHeight="1" x14ac:dyDescent="0.25">
      <c r="A179" t="s">
        <v>1049</v>
      </c>
      <c r="B179" t="s">
        <v>1145</v>
      </c>
      <c r="F179" s="105"/>
      <c r="P179" s="133" t="s">
        <v>933</v>
      </c>
      <c r="Q179" s="213" t="s">
        <v>1240</v>
      </c>
      <c r="R179" s="218" t="str">
        <f t="shared" si="2"/>
        <v>FL-147 L  Northern 7 1/4" High Eave Trim Mitered Lt (TS-324)</v>
      </c>
    </row>
    <row r="180" spans="1:18" ht="12.75" customHeight="1" x14ac:dyDescent="0.25">
      <c r="A180" t="s">
        <v>1050</v>
      </c>
      <c r="B180" t="s">
        <v>1146</v>
      </c>
      <c r="F180" s="105"/>
      <c r="P180" s="133" t="s">
        <v>930</v>
      </c>
      <c r="Q180" s="213" t="s">
        <v>1239</v>
      </c>
      <c r="R180" s="218" t="str">
        <f t="shared" si="2"/>
        <v>FL-148 R  Northern 7 1/4" High Eave End Cap Rt (TS-324)</v>
      </c>
    </row>
    <row r="181" spans="1:18" ht="12.75" customHeight="1" x14ac:dyDescent="0.25">
      <c r="A181" t="s">
        <v>1051</v>
      </c>
      <c r="B181" t="s">
        <v>1147</v>
      </c>
      <c r="F181" s="105"/>
      <c r="P181" s="133" t="s">
        <v>931</v>
      </c>
      <c r="Q181" s="213" t="s">
        <v>1238</v>
      </c>
      <c r="R181" s="218" t="str">
        <f t="shared" si="2"/>
        <v>FL-148 L  Northern 7 1/4" High Eave End Cap Lt (TS-324)</v>
      </c>
    </row>
    <row r="182" spans="1:18" ht="12.75" customHeight="1" x14ac:dyDescent="0.25">
      <c r="A182" t="s">
        <v>1695</v>
      </c>
      <c r="B182" t="s">
        <v>1699</v>
      </c>
      <c r="F182" s="105"/>
      <c r="P182" s="133" t="s">
        <v>1325</v>
      </c>
      <c r="Q182" s="213" t="s">
        <v>1330</v>
      </c>
      <c r="R182" s="218" t="str">
        <f t="shared" si="2"/>
        <v>FL-149A  7 1/4" Northern Style Expansion Peak Box (TS-324)</v>
      </c>
    </row>
    <row r="183" spans="1:18" ht="12.75" customHeight="1" x14ac:dyDescent="0.25">
      <c r="A183" t="s">
        <v>1696</v>
      </c>
      <c r="B183" t="s">
        <v>1711</v>
      </c>
      <c r="F183" s="105"/>
      <c r="P183" s="133" t="s">
        <v>1326</v>
      </c>
      <c r="Q183" s="213" t="s">
        <v>1330</v>
      </c>
      <c r="R183" s="218" t="str">
        <f t="shared" si="2"/>
        <v>FL-149B  7 1/4" Northern Style Expansion Peak Box (TS-324)</v>
      </c>
    </row>
    <row r="184" spans="1:18" ht="12.75" customHeight="1" x14ac:dyDescent="0.25">
      <c r="A184" t="s">
        <v>1697</v>
      </c>
      <c r="B184" t="s">
        <v>1712</v>
      </c>
      <c r="F184" s="105"/>
      <c r="P184" s="133" t="s">
        <v>1327</v>
      </c>
      <c r="Q184" s="213" t="s">
        <v>1330</v>
      </c>
      <c r="R184" s="218" t="str">
        <f t="shared" si="2"/>
        <v>FL-149C  7 1/4" Northern Style Expansion Peak Box (TS-324)</v>
      </c>
    </row>
    <row r="185" spans="1:18" ht="12.75" customHeight="1" x14ac:dyDescent="0.25">
      <c r="A185" t="s">
        <v>1698</v>
      </c>
      <c r="B185" t="s">
        <v>1713</v>
      </c>
      <c r="F185" s="105"/>
      <c r="P185" s="133" t="s">
        <v>1328</v>
      </c>
      <c r="Q185" s="213" t="s">
        <v>1330</v>
      </c>
      <c r="R185" s="218" t="str">
        <f t="shared" si="2"/>
        <v>FL-149D  7 1/4" Northern Style Expansion Peak Box (TS-324)</v>
      </c>
    </row>
    <row r="186" spans="1:18" ht="12.75" customHeight="1" x14ac:dyDescent="0.25">
      <c r="A186" t="s">
        <v>1052</v>
      </c>
      <c r="B186" t="s">
        <v>1099</v>
      </c>
      <c r="P186" s="133" t="s">
        <v>1329</v>
      </c>
      <c r="Q186" s="213" t="s">
        <v>1330</v>
      </c>
      <c r="R186" s="218" t="str">
        <f t="shared" si="2"/>
        <v>FL-149E  7 1/4" Northern Style Expansion Peak Box (TS-324)</v>
      </c>
    </row>
    <row r="187" spans="1:18" ht="12.75" customHeight="1" x14ac:dyDescent="0.25">
      <c r="A187" t="s">
        <v>1053</v>
      </c>
      <c r="B187" t="s">
        <v>1100</v>
      </c>
      <c r="P187" s="133" t="s">
        <v>213</v>
      </c>
      <c r="Q187" s="213" t="s">
        <v>214</v>
      </c>
      <c r="R187" s="218" t="str">
        <f t="shared" si="2"/>
        <v>FL-154A  7 1/4" Northern Style Expansion Peak Box (VS-216)</v>
      </c>
    </row>
    <row r="188" spans="1:18" ht="12.75" customHeight="1" x14ac:dyDescent="0.25">
      <c r="A188" t="s">
        <v>1054</v>
      </c>
      <c r="B188" t="s">
        <v>1148</v>
      </c>
      <c r="P188" s="133" t="s">
        <v>215</v>
      </c>
      <c r="Q188" s="213" t="s">
        <v>214</v>
      </c>
      <c r="R188" s="218" t="str">
        <f t="shared" si="2"/>
        <v>FL-154B  7 1/4" Northern Style Expansion Peak Box (VS-216)</v>
      </c>
    </row>
    <row r="189" spans="1:18" ht="12.75" customHeight="1" x14ac:dyDescent="0.25">
      <c r="A189" t="s">
        <v>53</v>
      </c>
      <c r="B189" t="s">
        <v>55</v>
      </c>
      <c r="P189" s="133" t="s">
        <v>216</v>
      </c>
      <c r="Q189" s="213" t="s">
        <v>214</v>
      </c>
      <c r="R189" s="218" t="str">
        <f t="shared" si="2"/>
        <v>FL-154C  7 1/4" Northern Style Expansion Peak Box (VS-216)</v>
      </c>
    </row>
    <row r="190" spans="1:18" ht="12.75" customHeight="1" x14ac:dyDescent="0.25">
      <c r="A190" t="s">
        <v>54</v>
      </c>
      <c r="B190" t="s">
        <v>56</v>
      </c>
      <c r="P190" s="133" t="s">
        <v>639</v>
      </c>
      <c r="Q190" s="213" t="s">
        <v>1666</v>
      </c>
      <c r="R190" s="218" t="str">
        <f t="shared" si="2"/>
        <v>FL-155   Standard Gutter (VS-216)</v>
      </c>
    </row>
    <row r="191" spans="1:18" ht="12.75" customHeight="1" x14ac:dyDescent="0.25">
      <c r="A191" t="s">
        <v>1694</v>
      </c>
      <c r="B191" t="s">
        <v>1693</v>
      </c>
      <c r="P191" s="133" t="s">
        <v>928</v>
      </c>
      <c r="Q191" s="213" t="s">
        <v>1667</v>
      </c>
      <c r="R191" s="218" t="str">
        <f t="shared" si="2"/>
        <v>FL-155 R  Standard Gutter Mitered Rt (VS-216)</v>
      </c>
    </row>
    <row r="192" spans="1:18" ht="12.75" customHeight="1" x14ac:dyDescent="0.25">
      <c r="P192" s="133" t="s">
        <v>929</v>
      </c>
      <c r="Q192" s="213" t="s">
        <v>1668</v>
      </c>
      <c r="R192" s="218" t="str">
        <f t="shared" si="2"/>
        <v>FL-155 L  Standard Gutter Mitered Lt (VS-216)</v>
      </c>
    </row>
    <row r="193" spans="1:18" ht="12.75" customHeight="1" x14ac:dyDescent="0.25">
      <c r="P193" s="133" t="s">
        <v>927</v>
      </c>
      <c r="Q193" s="213" t="s">
        <v>1669</v>
      </c>
      <c r="R193" s="218" t="str">
        <f t="shared" si="2"/>
        <v>FL-156 R  Standard Gutter End Cap Rt (VS-216)</v>
      </c>
    </row>
    <row r="194" spans="1:18" ht="12.75" customHeight="1" x14ac:dyDescent="0.25">
      <c r="P194" s="133" t="s">
        <v>926</v>
      </c>
      <c r="Q194" s="213" t="s">
        <v>0</v>
      </c>
      <c r="R194" s="218" t="str">
        <f t="shared" si="2"/>
        <v>FL-156 L  Standard Gutter End Cap Lt (VS-216)</v>
      </c>
    </row>
    <row r="195" spans="1:18" ht="12.75" customHeight="1" x14ac:dyDescent="0.25">
      <c r="P195" s="133" t="s">
        <v>640</v>
      </c>
      <c r="Q195" s="213" t="s">
        <v>925</v>
      </c>
      <c r="R195" s="218" t="str">
        <f t="shared" si="2"/>
        <v>FL-157  Northern 7 1/4" Rake Trim (VS-216)</v>
      </c>
    </row>
    <row r="196" spans="1:18" ht="12.75" customHeight="1" x14ac:dyDescent="0.25">
      <c r="P196" s="133" t="s">
        <v>923</v>
      </c>
      <c r="Q196" s="213" t="s">
        <v>1237</v>
      </c>
      <c r="R196" s="218" t="str">
        <f t="shared" si="2"/>
        <v>FL-157 R  Northern 7 1/4" Rake Trim Mitered Rt (VS-216)</v>
      </c>
    </row>
    <row r="197" spans="1:18" ht="12.75" customHeight="1" x14ac:dyDescent="0.25">
      <c r="P197" s="133" t="s">
        <v>924</v>
      </c>
      <c r="Q197" s="213" t="s">
        <v>1236</v>
      </c>
      <c r="R197" s="218" t="str">
        <f t="shared" si="2"/>
        <v>FL-157 L  Northern 7 1/4" Rake Trim Mitered Lt (VS-216)</v>
      </c>
    </row>
    <row r="198" spans="1:18" ht="12.75" customHeight="1" x14ac:dyDescent="0.25">
      <c r="P198" s="133" t="s">
        <v>641</v>
      </c>
      <c r="Q198" s="213" t="s">
        <v>922</v>
      </c>
      <c r="R198" s="218" t="str">
        <f t="shared" si="2"/>
        <v>FL-158  Northern 10" Rake Trim (VS-216)</v>
      </c>
    </row>
    <row r="199" spans="1:18" ht="12.75" customHeight="1" x14ac:dyDescent="0.25">
      <c r="P199" s="133" t="s">
        <v>920</v>
      </c>
      <c r="Q199" s="213" t="s">
        <v>1235</v>
      </c>
      <c r="R199" s="218" t="str">
        <f t="shared" si="2"/>
        <v>FL-159 R  Northern 10" Rake Trim Mitered Rt (VS-216)</v>
      </c>
    </row>
    <row r="200" spans="1:18" ht="12.75" customHeight="1" x14ac:dyDescent="0.3">
      <c r="A200" s="128" t="s">
        <v>473</v>
      </c>
      <c r="P200" s="133" t="s">
        <v>921</v>
      </c>
      <c r="Q200" s="213" t="s">
        <v>1234</v>
      </c>
      <c r="R200" s="218" t="str">
        <f t="shared" si="2"/>
        <v>FL-159 L  Northern 10" Rake Trim Mitered Lt (VS-216)</v>
      </c>
    </row>
    <row r="201" spans="1:18" ht="12.75" customHeight="1" x14ac:dyDescent="0.3">
      <c r="A201" s="220" t="s">
        <v>1369</v>
      </c>
      <c r="P201" s="133" t="s">
        <v>918</v>
      </c>
      <c r="Q201" s="213" t="s">
        <v>1235</v>
      </c>
      <c r="R201" s="218" t="str">
        <f t="shared" ref="R201:R315" si="3">$P201 &amp; "  " &amp; $Q201</f>
        <v>FL-160 R  Northern 10" Rake Trim Mitered Rt (VS-216)</v>
      </c>
    </row>
    <row r="202" spans="1:18" ht="12.75" customHeight="1" x14ac:dyDescent="0.3">
      <c r="A202" s="220" t="s">
        <v>1370</v>
      </c>
      <c r="P202" s="133" t="s">
        <v>919</v>
      </c>
      <c r="Q202" s="213" t="s">
        <v>1234</v>
      </c>
      <c r="R202" s="218" t="str">
        <f t="shared" si="3"/>
        <v>FL-160 L  Northern 10" Rake Trim Mitered Lt (VS-216)</v>
      </c>
    </row>
    <row r="203" spans="1:18" ht="12.75" customHeight="1" x14ac:dyDescent="0.3">
      <c r="A203" s="220" t="s">
        <v>1371</v>
      </c>
      <c r="P203" s="133" t="s">
        <v>642</v>
      </c>
      <c r="Q203" s="213" t="s">
        <v>917</v>
      </c>
      <c r="R203" s="218" t="str">
        <f t="shared" si="3"/>
        <v>FL-161  Northern 7 1/4" High Eave Trim (VS-216)</v>
      </c>
    </row>
    <row r="204" spans="1:18" ht="12.75" customHeight="1" x14ac:dyDescent="0.3">
      <c r="A204" s="220" t="s">
        <v>1372</v>
      </c>
      <c r="P204" s="133" t="s">
        <v>915</v>
      </c>
      <c r="Q204" s="213" t="s">
        <v>1233</v>
      </c>
      <c r="R204" s="218" t="str">
        <f t="shared" si="3"/>
        <v>FL-161 R  Northern 7 1/4" High Eave Trim Mitered Rt (VS-216)</v>
      </c>
    </row>
    <row r="205" spans="1:18" ht="12.75" customHeight="1" x14ac:dyDescent="0.3">
      <c r="A205" s="220" t="s">
        <v>1373</v>
      </c>
      <c r="P205" s="133" t="s">
        <v>916</v>
      </c>
      <c r="Q205" s="213" t="s">
        <v>1232</v>
      </c>
      <c r="R205" s="218" t="str">
        <f t="shared" si="3"/>
        <v>FL-161 L  Northern 7 1/4" High Eave Trim Mitered Lt (VS-216)</v>
      </c>
    </row>
    <row r="206" spans="1:18" ht="12.75" customHeight="1" x14ac:dyDescent="0.3">
      <c r="A206" s="220" t="s">
        <v>1374</v>
      </c>
      <c r="P206" s="133" t="s">
        <v>643</v>
      </c>
      <c r="Q206" s="213" t="s">
        <v>912</v>
      </c>
      <c r="R206" s="218" t="str">
        <f t="shared" si="3"/>
        <v>FL-162  Northern 10" High Eave Trim (VS-216)</v>
      </c>
    </row>
    <row r="207" spans="1:18" ht="12.75" customHeight="1" x14ac:dyDescent="0.3">
      <c r="A207" s="220" t="s">
        <v>114</v>
      </c>
      <c r="P207" s="133" t="s">
        <v>911</v>
      </c>
      <c r="Q207" s="213" t="s">
        <v>1231</v>
      </c>
      <c r="R207" s="218" t="str">
        <f t="shared" si="3"/>
        <v>FL-162 R  Northern 10" High Eave Trim Mitered Rt (VS-216)</v>
      </c>
    </row>
    <row r="208" spans="1:18" ht="12.75" customHeight="1" x14ac:dyDescent="0.3">
      <c r="A208" s="220" t="s">
        <v>115</v>
      </c>
      <c r="P208" s="133" t="s">
        <v>914</v>
      </c>
      <c r="Q208" s="213" t="s">
        <v>1230</v>
      </c>
      <c r="R208" s="218" t="str">
        <f t="shared" si="3"/>
        <v>FL-162 L  Northern 10" High Eave Trim Mitered Lt (VS-216)</v>
      </c>
    </row>
    <row r="209" spans="1:18" ht="12.75" customHeight="1" x14ac:dyDescent="0.3">
      <c r="A209" s="220" t="s">
        <v>116</v>
      </c>
      <c r="P209" s="133" t="s">
        <v>644</v>
      </c>
      <c r="Q209" s="213" t="s">
        <v>910</v>
      </c>
      <c r="R209" s="218" t="str">
        <f t="shared" si="3"/>
        <v>FL-163  Northern 10" Peak Box (VS-216)</v>
      </c>
    </row>
    <row r="210" spans="1:18" ht="12.75" customHeight="1" x14ac:dyDescent="0.3">
      <c r="A210" s="220" t="s">
        <v>117</v>
      </c>
      <c r="P210" s="133" t="s">
        <v>645</v>
      </c>
      <c r="Q210" s="213" t="s">
        <v>910</v>
      </c>
      <c r="R210" s="218" t="str">
        <f t="shared" si="3"/>
        <v>FL-164  Northern 10" Peak Box (VS-216)</v>
      </c>
    </row>
    <row r="211" spans="1:18" ht="12.75" customHeight="1" x14ac:dyDescent="0.3">
      <c r="A211" s="220" t="s">
        <v>1375</v>
      </c>
      <c r="P211" s="133" t="s">
        <v>908</v>
      </c>
      <c r="Q211" s="213" t="s">
        <v>1229</v>
      </c>
      <c r="R211" s="218" t="str">
        <f t="shared" si="3"/>
        <v>FL-165 R  Northern High Eave End Cap Rt (VS-216)</v>
      </c>
    </row>
    <row r="212" spans="1:18" ht="12.75" customHeight="1" x14ac:dyDescent="0.3">
      <c r="A212" s="220" t="s">
        <v>118</v>
      </c>
      <c r="P212" s="133" t="s">
        <v>909</v>
      </c>
      <c r="Q212" s="213" t="s">
        <v>1228</v>
      </c>
      <c r="R212" s="218" t="str">
        <f t="shared" si="3"/>
        <v>FL-165 L  Northern High Eave End Cap Lt (VS-216)</v>
      </c>
    </row>
    <row r="213" spans="1:18" ht="12.75" customHeight="1" x14ac:dyDescent="0.3">
      <c r="A213" s="220" t="s">
        <v>119</v>
      </c>
      <c r="P213" s="133" t="s">
        <v>906</v>
      </c>
      <c r="Q213" s="213" t="s">
        <v>1229</v>
      </c>
      <c r="R213" s="218" t="str">
        <f t="shared" si="3"/>
        <v>FL-166 R  Northern High Eave End Cap Rt (VS-216)</v>
      </c>
    </row>
    <row r="214" spans="1:18" ht="12.75" customHeight="1" x14ac:dyDescent="0.3">
      <c r="A214" s="220"/>
      <c r="P214" s="133" t="s">
        <v>907</v>
      </c>
      <c r="Q214" s="213" t="s">
        <v>1228</v>
      </c>
      <c r="R214" s="218" t="str">
        <f t="shared" si="3"/>
        <v>FL-166 L  Northern High Eave End Cap Lt (VS-216)</v>
      </c>
    </row>
    <row r="215" spans="1:18" ht="12.75" customHeight="1" x14ac:dyDescent="0.3">
      <c r="A215" s="220"/>
      <c r="P215" s="133" t="s">
        <v>217</v>
      </c>
      <c r="Q215" s="213" t="s">
        <v>219</v>
      </c>
      <c r="R215" s="218" t="str">
        <f t="shared" si="3"/>
        <v>FL-168 R  Northern Shadow 8" Gutter End Cap Rt</v>
      </c>
    </row>
    <row r="216" spans="1:18" ht="12.75" customHeight="1" x14ac:dyDescent="0.3">
      <c r="A216" s="220"/>
      <c r="P216" s="133" t="s">
        <v>218</v>
      </c>
      <c r="Q216" s="213" t="s">
        <v>220</v>
      </c>
      <c r="R216" s="218" t="str">
        <f t="shared" si="3"/>
        <v>FL-168 L  Northern Shadow 8" Gutter End Cap Lt</v>
      </c>
    </row>
    <row r="217" spans="1:18" ht="12.75" customHeight="1" x14ac:dyDescent="0.3">
      <c r="A217" s="220"/>
      <c r="P217" s="133" t="s">
        <v>287</v>
      </c>
      <c r="Q217" s="213" t="s">
        <v>289</v>
      </c>
      <c r="R217" s="218" t="str">
        <f t="shared" si="3"/>
        <v>FL-169 R  Northern Shadow Gutter End Cap Rt</v>
      </c>
    </row>
    <row r="218" spans="1:18" ht="12.75" customHeight="1" x14ac:dyDescent="0.3">
      <c r="A218" s="220"/>
      <c r="P218" s="133" t="s">
        <v>288</v>
      </c>
      <c r="Q218" s="213" t="s">
        <v>290</v>
      </c>
      <c r="R218" s="218" t="str">
        <f t="shared" si="3"/>
        <v>FL-169 L  Northern Shadow Gutter End Cap Lt</v>
      </c>
    </row>
    <row r="219" spans="1:18" ht="12.75" customHeight="1" x14ac:dyDescent="0.3">
      <c r="A219" s="220"/>
      <c r="P219" s="39" t="s">
        <v>902</v>
      </c>
      <c r="Q219" s="217" t="s">
        <v>905</v>
      </c>
      <c r="R219" s="218" t="str">
        <f t="shared" si="3"/>
        <v>FL-170  Shadow Gutter (PBR Panel)</v>
      </c>
    </row>
    <row r="220" spans="1:18" ht="12.75" customHeight="1" x14ac:dyDescent="0.3">
      <c r="A220" s="220"/>
      <c r="P220" s="39" t="s">
        <v>903</v>
      </c>
      <c r="Q220" s="217" t="s">
        <v>1440</v>
      </c>
      <c r="R220" s="218" t="str">
        <f t="shared" si="3"/>
        <v>FL-170 R  Shadow Gutter Mitered Rt (PBR Panel)</v>
      </c>
    </row>
    <row r="221" spans="1:18" ht="12.75" customHeight="1" x14ac:dyDescent="0.3">
      <c r="A221" s="128"/>
      <c r="P221" s="39" t="s">
        <v>904</v>
      </c>
      <c r="Q221" s="217" t="s">
        <v>1441</v>
      </c>
      <c r="R221" s="218" t="str">
        <f t="shared" si="3"/>
        <v>FL-170 L  Shadow Gutter Mitered Lt (PBR Panel)</v>
      </c>
    </row>
    <row r="222" spans="1:18" ht="12.75" customHeight="1" x14ac:dyDescent="0.3">
      <c r="A222" s="128"/>
      <c r="P222" s="133" t="s">
        <v>23</v>
      </c>
      <c r="Q222" s="213" t="s">
        <v>24</v>
      </c>
      <c r="R222" s="218" t="str">
        <f t="shared" si="3"/>
        <v>FL-171  Northern 7 1/4" Shadow Gutter</v>
      </c>
    </row>
    <row r="223" spans="1:18" ht="12.75" customHeight="1" x14ac:dyDescent="0.3">
      <c r="A223" s="128"/>
      <c r="P223" s="133" t="s">
        <v>25</v>
      </c>
      <c r="Q223" s="213" t="s">
        <v>27</v>
      </c>
      <c r="R223" s="218" t="str">
        <f t="shared" si="3"/>
        <v>FL-171 R  Northern 7 1/4" Shadow Gutter Mitered Rt</v>
      </c>
    </row>
    <row r="224" spans="1:18" ht="12.75" customHeight="1" x14ac:dyDescent="0.3">
      <c r="A224" s="128"/>
      <c r="P224" s="133" t="s">
        <v>26</v>
      </c>
      <c r="Q224" s="213" t="s">
        <v>28</v>
      </c>
      <c r="R224" s="218" t="str">
        <f t="shared" si="3"/>
        <v>FL-171 L  Northern 7 1/4" Shadow Gutter Mitered Lt</v>
      </c>
    </row>
    <row r="225" spans="1:18" ht="12.75" customHeight="1" x14ac:dyDescent="0.3">
      <c r="A225" s="128"/>
      <c r="P225" s="133" t="s">
        <v>29</v>
      </c>
      <c r="Q225" s="213" t="s">
        <v>30</v>
      </c>
      <c r="R225" s="218" t="str">
        <f t="shared" si="3"/>
        <v>FL-172  Low Side Shadow Eave Trim (PBR Panel)</v>
      </c>
    </row>
    <row r="226" spans="1:18" ht="12.75" customHeight="1" x14ac:dyDescent="0.3">
      <c r="A226" s="128"/>
      <c r="P226" s="133" t="s">
        <v>31</v>
      </c>
      <c r="Q226" s="213" t="s">
        <v>34</v>
      </c>
      <c r="R226" s="218" t="str">
        <f t="shared" si="3"/>
        <v>FL-173  Northern 8" Shadow Gutter</v>
      </c>
    </row>
    <row r="227" spans="1:18" ht="12.75" customHeight="1" x14ac:dyDescent="0.3">
      <c r="A227" s="128"/>
      <c r="P227" s="133" t="s">
        <v>32</v>
      </c>
      <c r="Q227" s="213" t="s">
        <v>35</v>
      </c>
      <c r="R227" s="218" t="str">
        <f t="shared" si="3"/>
        <v>FL-173 R  Northern 8" Shadow Gutter Mitered Rt</v>
      </c>
    </row>
    <row r="228" spans="1:18" ht="12.75" customHeight="1" x14ac:dyDescent="0.3">
      <c r="A228" s="128"/>
      <c r="P228" s="133" t="s">
        <v>33</v>
      </c>
      <c r="Q228" s="213" t="s">
        <v>36</v>
      </c>
      <c r="R228" s="218" t="str">
        <f t="shared" si="3"/>
        <v>FL-173 L  Northern 8" Shadow Gutter Mitered Lt</v>
      </c>
    </row>
    <row r="229" spans="1:18" ht="12.75" customHeight="1" x14ac:dyDescent="0.3">
      <c r="A229" s="128"/>
      <c r="P229" s="133" t="s">
        <v>37</v>
      </c>
      <c r="Q229" s="213" t="s">
        <v>40</v>
      </c>
      <c r="R229" s="218" t="str">
        <f t="shared" si="3"/>
        <v>FL-174  Northern 10" Shadow Gutter</v>
      </c>
    </row>
    <row r="230" spans="1:18" ht="12.75" customHeight="1" x14ac:dyDescent="0.3">
      <c r="A230" s="128"/>
      <c r="P230" s="133" t="s">
        <v>38</v>
      </c>
      <c r="Q230" s="213" t="s">
        <v>41</v>
      </c>
      <c r="R230" s="218" t="str">
        <f t="shared" si="3"/>
        <v>FL-174 R  Northern 10" Shadow Gutter Mitered Rt</v>
      </c>
    </row>
    <row r="231" spans="1:18" ht="12.75" customHeight="1" x14ac:dyDescent="0.3">
      <c r="A231" s="128"/>
      <c r="P231" s="133" t="s">
        <v>39</v>
      </c>
      <c r="Q231" s="213" t="s">
        <v>42</v>
      </c>
      <c r="R231" s="218" t="str">
        <f t="shared" si="3"/>
        <v>FL-174 L  Northern 10" Shadow Gutter Mitered Lt</v>
      </c>
    </row>
    <row r="232" spans="1:18" ht="12.75" customHeight="1" x14ac:dyDescent="0.3">
      <c r="A232" s="128"/>
      <c r="P232" s="39" t="s">
        <v>901</v>
      </c>
      <c r="Q232" s="217" t="s">
        <v>898</v>
      </c>
      <c r="R232" s="218" t="str">
        <f t="shared" si="3"/>
        <v>FL-175  Shadow Rake Trim (PBR Panel)</v>
      </c>
    </row>
    <row r="233" spans="1:18" ht="12.75" customHeight="1" x14ac:dyDescent="0.3">
      <c r="A233" s="128"/>
      <c r="P233" s="39" t="s">
        <v>900</v>
      </c>
      <c r="Q233" s="217" t="s">
        <v>1227</v>
      </c>
      <c r="R233" s="218" t="str">
        <f t="shared" si="3"/>
        <v>FL-175 R  Shadow Rake Trim Mitered Rt (PBR Panel)</v>
      </c>
    </row>
    <row r="234" spans="1:18" ht="12.75" customHeight="1" x14ac:dyDescent="0.3">
      <c r="A234" s="128"/>
      <c r="P234" s="39" t="s">
        <v>899</v>
      </c>
      <c r="Q234" s="217" t="s">
        <v>1226</v>
      </c>
      <c r="R234" s="218" t="str">
        <f t="shared" si="3"/>
        <v>FL-175 L  Shadow Rake Trim Mitered Lt (PBR Panel)</v>
      </c>
    </row>
    <row r="235" spans="1:18" ht="12.75" customHeight="1" x14ac:dyDescent="0.3">
      <c r="A235" s="128"/>
      <c r="P235" s="39" t="s">
        <v>43</v>
      </c>
      <c r="Q235" s="217" t="s">
        <v>46</v>
      </c>
      <c r="R235" s="218" t="str">
        <f t="shared" si="3"/>
        <v>FL-176  Northern 7 1/4" Shadow Rake Trim (PBR Panel)</v>
      </c>
    </row>
    <row r="236" spans="1:18" ht="12.75" customHeight="1" x14ac:dyDescent="0.3">
      <c r="A236" s="128"/>
      <c r="P236" s="39" t="s">
        <v>44</v>
      </c>
      <c r="Q236" s="217" t="s">
        <v>154</v>
      </c>
      <c r="R236" s="218" t="str">
        <f t="shared" si="3"/>
        <v>FL-176 R  Northern 7 1/4" Shadow Rake Mitered Rt (PBR Panel)</v>
      </c>
    </row>
    <row r="237" spans="1:18" ht="12.75" customHeight="1" x14ac:dyDescent="0.25">
      <c r="P237" s="39" t="s">
        <v>45</v>
      </c>
      <c r="Q237" s="217" t="s">
        <v>155</v>
      </c>
      <c r="R237" s="218" t="str">
        <f t="shared" si="3"/>
        <v>FL-176 L  Northern 7 1/4" Shadow Rake Mitered Lt (PBR Panel)</v>
      </c>
    </row>
    <row r="238" spans="1:18" ht="12.75" customHeight="1" x14ac:dyDescent="0.25">
      <c r="P238" s="39" t="s">
        <v>47</v>
      </c>
      <c r="Q238" s="217" t="s">
        <v>92</v>
      </c>
      <c r="R238" s="218" t="str">
        <f t="shared" si="3"/>
        <v>FL-177  Northern 10" Shadow Rake Trim (PBR Panel)</v>
      </c>
    </row>
    <row r="239" spans="1:18" ht="12.75" customHeight="1" x14ac:dyDescent="0.25">
      <c r="P239" s="39" t="s">
        <v>48</v>
      </c>
      <c r="Q239" s="217" t="s">
        <v>234</v>
      </c>
      <c r="R239" s="218" t="str">
        <f t="shared" si="3"/>
        <v>FL-178 R  Northern Shadow Rake Trim Mitered Rt (PBR Panel)</v>
      </c>
    </row>
    <row r="240" spans="1:18" ht="12.75" customHeight="1" x14ac:dyDescent="0.25">
      <c r="P240" s="39" t="s">
        <v>49</v>
      </c>
      <c r="Q240" s="217" t="s">
        <v>235</v>
      </c>
      <c r="R240" s="218" t="str">
        <f t="shared" si="3"/>
        <v>FL-178 L  Northern Shadow Rake Trim Mitered Lt (PBR Panel)</v>
      </c>
    </row>
    <row r="241" spans="16:18" ht="12.75" customHeight="1" x14ac:dyDescent="0.25">
      <c r="P241" s="39" t="s">
        <v>97</v>
      </c>
      <c r="Q241" s="217" t="s">
        <v>234</v>
      </c>
      <c r="R241" s="218" t="str">
        <f t="shared" si="3"/>
        <v>FL-179 R  Northern Shadow Rake Trim Mitered Rt (PBR Panel)</v>
      </c>
    </row>
    <row r="242" spans="16:18" ht="12.75" customHeight="1" x14ac:dyDescent="0.25">
      <c r="P242" s="39" t="s">
        <v>98</v>
      </c>
      <c r="Q242" s="217" t="s">
        <v>235</v>
      </c>
      <c r="R242" s="218" t="str">
        <f t="shared" si="3"/>
        <v>FL-179 L  Northern Shadow Rake Trim Mitered Lt (PBR Panel)</v>
      </c>
    </row>
    <row r="243" spans="16:18" ht="12.75" customHeight="1" x14ac:dyDescent="0.25">
      <c r="P243" s="39" t="s">
        <v>938</v>
      </c>
      <c r="Q243" s="217" t="s">
        <v>939</v>
      </c>
      <c r="R243" s="218" t="str">
        <f t="shared" si="3"/>
        <v>FL-180  Shadow Peak Box (PBR Panel)</v>
      </c>
    </row>
    <row r="244" spans="16:18" ht="12.75" customHeight="1" x14ac:dyDescent="0.25">
      <c r="P244" s="133" t="s">
        <v>99</v>
      </c>
      <c r="Q244" s="213" t="s">
        <v>236</v>
      </c>
      <c r="R244" s="218" t="str">
        <f t="shared" si="3"/>
        <v>FL-181  Northern Shadow Peak Box (PBR Panel)(  Sign )</v>
      </c>
    </row>
    <row r="245" spans="16:18" ht="12.75" customHeight="1" x14ac:dyDescent="0.25">
      <c r="P245" s="133" t="s">
        <v>100</v>
      </c>
      <c r="Q245" s="213" t="s">
        <v>237</v>
      </c>
      <c r="R245" s="218" t="str">
        <f t="shared" si="3"/>
        <v>FL-182  Northern Shadow Peak Box (PBR Panel)(  Sign)</v>
      </c>
    </row>
    <row r="246" spans="16:18" ht="12.75" customHeight="1" x14ac:dyDescent="0.25">
      <c r="P246" s="214" t="s">
        <v>101</v>
      </c>
      <c r="Q246" s="213" t="s">
        <v>103</v>
      </c>
      <c r="R246" s="218" t="str">
        <f t="shared" si="3"/>
        <v>FL-183 R  Shadow Gutter End Cap Rt (PBR Panel)</v>
      </c>
    </row>
    <row r="247" spans="16:18" ht="12.75" customHeight="1" x14ac:dyDescent="0.25">
      <c r="P247" s="214" t="s">
        <v>102</v>
      </c>
      <c r="Q247" s="213" t="s">
        <v>104</v>
      </c>
      <c r="R247" s="218" t="str">
        <f t="shared" si="3"/>
        <v>FL-183 L  Shadow Gutter End Cap Lt (PBR Panel)</v>
      </c>
    </row>
    <row r="248" spans="16:18" ht="12.75" customHeight="1" x14ac:dyDescent="0.25">
      <c r="P248" s="214" t="s">
        <v>147</v>
      </c>
      <c r="Q248" s="213" t="s">
        <v>108</v>
      </c>
      <c r="R248" s="218" t="str">
        <f t="shared" si="3"/>
        <v>FL-184  High Side Shadow Eave Trim (PBR Panel)</v>
      </c>
    </row>
    <row r="249" spans="16:18" ht="12.75" customHeight="1" x14ac:dyDescent="0.25">
      <c r="P249" s="214" t="s">
        <v>148</v>
      </c>
      <c r="Q249" s="213" t="s">
        <v>156</v>
      </c>
      <c r="R249" s="218" t="str">
        <f t="shared" si="3"/>
        <v>FL-184 R  High Side Shadow Eave Trim Mitered Rt(PBR Panel)</v>
      </c>
    </row>
    <row r="250" spans="16:18" ht="12.75" customHeight="1" x14ac:dyDescent="0.25">
      <c r="P250" s="214" t="s">
        <v>149</v>
      </c>
      <c r="Q250" s="213" t="s">
        <v>120</v>
      </c>
      <c r="R250" s="218" t="str">
        <f t="shared" si="3"/>
        <v>FL-184 L  High Side Shadow Eave Trim Mitered Lt (PBR Panel)</v>
      </c>
    </row>
    <row r="251" spans="16:18" ht="12.75" customHeight="1" x14ac:dyDescent="0.25">
      <c r="P251" s="214" t="s">
        <v>105</v>
      </c>
      <c r="Q251" s="213" t="s">
        <v>150</v>
      </c>
      <c r="R251" s="218" t="str">
        <f t="shared" si="3"/>
        <v>FL-185  Northern High Side Shadow Eave Trim (PBR Panel)</v>
      </c>
    </row>
    <row r="252" spans="16:18" ht="12.75" customHeight="1" x14ac:dyDescent="0.25">
      <c r="P252" s="214" t="s">
        <v>106</v>
      </c>
      <c r="Q252" s="213" t="s">
        <v>157</v>
      </c>
      <c r="R252" s="218" t="str">
        <f t="shared" si="3"/>
        <v>FL-185 R  Northern High Shadow Eave Mitered Rt (PBR Panel)</v>
      </c>
    </row>
    <row r="253" spans="16:18" ht="12.75" customHeight="1" x14ac:dyDescent="0.25">
      <c r="P253" s="214" t="s">
        <v>107</v>
      </c>
      <c r="Q253" s="213" t="s">
        <v>158</v>
      </c>
      <c r="R253" s="218" t="str">
        <f t="shared" si="3"/>
        <v>FL-185 L  Northern High Shadow Eave Mitered Lt (PBR Panel)</v>
      </c>
    </row>
    <row r="254" spans="16:18" ht="12.75" customHeight="1" x14ac:dyDescent="0.25">
      <c r="P254" s="214" t="s">
        <v>151</v>
      </c>
      <c r="Q254" s="213" t="s">
        <v>233</v>
      </c>
      <c r="R254" s="218" t="str">
        <f t="shared" si="3"/>
        <v>FL-186  Northern High Shadow Eave Trim (PBR Panel)</v>
      </c>
    </row>
    <row r="255" spans="16:18" ht="12.75" customHeight="1" x14ac:dyDescent="0.25">
      <c r="P255" s="214" t="s">
        <v>152</v>
      </c>
      <c r="Q255" s="213" t="s">
        <v>157</v>
      </c>
      <c r="R255" s="218" t="str">
        <f t="shared" si="3"/>
        <v>FL-186 R  Northern High Shadow Eave Mitered Rt (PBR Panel)</v>
      </c>
    </row>
    <row r="256" spans="16:18" ht="12.75" customHeight="1" x14ac:dyDescent="0.25">
      <c r="P256" s="214" t="s">
        <v>153</v>
      </c>
      <c r="Q256" s="213" t="s">
        <v>158</v>
      </c>
      <c r="R256" s="218" t="str">
        <f t="shared" si="3"/>
        <v>FL-186 L  Northern High Shadow Eave Mitered Lt (PBR Panel)</v>
      </c>
    </row>
    <row r="257" spans="16:18" ht="12.75" customHeight="1" x14ac:dyDescent="0.25">
      <c r="P257" s="214" t="s">
        <v>57</v>
      </c>
      <c r="Q257" s="213" t="s">
        <v>61</v>
      </c>
      <c r="R257" s="218" t="str">
        <f t="shared" si="3"/>
        <v>FL-187 R  Shadow Gutter End Cap Rt (VS Panel)</v>
      </c>
    </row>
    <row r="258" spans="16:18" ht="12.75" customHeight="1" x14ac:dyDescent="0.25">
      <c r="P258" s="214" t="s">
        <v>60</v>
      </c>
      <c r="Q258" s="213" t="s">
        <v>62</v>
      </c>
      <c r="R258" s="218" t="str">
        <f t="shared" si="3"/>
        <v>FL-187 L  Shadow Gutter End Cap Lt (VS Panel)</v>
      </c>
    </row>
    <row r="259" spans="16:18" ht="12.75" customHeight="1" x14ac:dyDescent="0.25">
      <c r="P259" s="214" t="s">
        <v>1297</v>
      </c>
      <c r="Q259" s="213" t="s">
        <v>108</v>
      </c>
      <c r="R259" s="218" t="str">
        <f t="shared" si="3"/>
        <v>FL-188  High Side Shadow Eave Trim (PBR Panel)</v>
      </c>
    </row>
    <row r="260" spans="16:18" ht="12.75" customHeight="1" x14ac:dyDescent="0.25">
      <c r="P260" s="214" t="s">
        <v>1298</v>
      </c>
      <c r="Q260" s="213" t="s">
        <v>156</v>
      </c>
      <c r="R260" s="218" t="str">
        <f t="shared" si="3"/>
        <v>FL-188 R  High Side Shadow Eave Trim Mitered Rt(PBR Panel)</v>
      </c>
    </row>
    <row r="261" spans="16:18" ht="12.75" customHeight="1" x14ac:dyDescent="0.25">
      <c r="P261" s="214" t="s">
        <v>1299</v>
      </c>
      <c r="Q261" s="213" t="s">
        <v>120</v>
      </c>
      <c r="R261" s="218" t="str">
        <f t="shared" si="3"/>
        <v>FL-188 L  High Side Shadow Eave Trim Mitered Lt (PBR Panel)</v>
      </c>
    </row>
    <row r="262" spans="16:18" ht="12.75" customHeight="1" x14ac:dyDescent="0.25">
      <c r="P262" s="133" t="s">
        <v>1589</v>
      </c>
      <c r="Q262" s="213" t="s">
        <v>1594</v>
      </c>
      <c r="R262" s="218" t="str">
        <f t="shared" si="3"/>
        <v>FL-190  Sculptured Low Side Eave Trim (VS-216)</v>
      </c>
    </row>
    <row r="263" spans="16:18" ht="12.75" customHeight="1" x14ac:dyDescent="0.25">
      <c r="P263" s="133" t="s">
        <v>1590</v>
      </c>
      <c r="Q263" s="213" t="s">
        <v>1595</v>
      </c>
      <c r="R263" s="218" t="str">
        <f t="shared" si="3"/>
        <v>FL-190 R  Sculptured Low Side Eave Trim Mitered Rt (VS-216)</v>
      </c>
    </row>
    <row r="264" spans="16:18" ht="12.75" customHeight="1" x14ac:dyDescent="0.25">
      <c r="P264" s="133" t="s">
        <v>1591</v>
      </c>
      <c r="Q264" s="213" t="s">
        <v>1596</v>
      </c>
      <c r="R264" s="218" t="str">
        <f t="shared" si="3"/>
        <v>FL-190 L  Sculptured Low Side Eave Trim Mitered Lt (VS-216)</v>
      </c>
    </row>
    <row r="265" spans="16:18" ht="12.75" customHeight="1" x14ac:dyDescent="0.25">
      <c r="P265" s="133" t="s">
        <v>1592</v>
      </c>
      <c r="Q265" s="213" t="s">
        <v>1597</v>
      </c>
      <c r="R265" s="218" t="str">
        <f t="shared" si="3"/>
        <v>FL-191 R  Low Side End Cap Rt (VS-216)</v>
      </c>
    </row>
    <row r="266" spans="16:18" ht="12.75" customHeight="1" x14ac:dyDescent="0.25">
      <c r="P266" s="133" t="s">
        <v>1593</v>
      </c>
      <c r="Q266" s="213" t="s">
        <v>1598</v>
      </c>
      <c r="R266" s="218" t="str">
        <f t="shared" si="3"/>
        <v>FL-191 L  Low Side End Cap Lt (VS-216)</v>
      </c>
    </row>
    <row r="267" spans="16:18" ht="12.75" customHeight="1" x14ac:dyDescent="0.25">
      <c r="P267" s="133" t="s">
        <v>646</v>
      </c>
      <c r="Q267" s="213" t="s">
        <v>978</v>
      </c>
      <c r="R267" s="218" t="str">
        <f t="shared" si="3"/>
        <v>FL-200  Ridge Flashing (SSR Roof)</v>
      </c>
    </row>
    <row r="268" spans="16:18" ht="12.75" customHeight="1" x14ac:dyDescent="0.25">
      <c r="P268" s="133" t="s">
        <v>647</v>
      </c>
      <c r="Q268" s="213" t="s">
        <v>977</v>
      </c>
      <c r="R268" s="218" t="str">
        <f t="shared" si="3"/>
        <v>FL-201  Ridge End Cap (SSR Roof)</v>
      </c>
    </row>
    <row r="269" spans="16:18" ht="12.75" customHeight="1" x14ac:dyDescent="0.25">
      <c r="P269" s="133" t="s">
        <v>648</v>
      </c>
      <c r="Q269" s="213" t="s">
        <v>976</v>
      </c>
      <c r="R269" s="218" t="str">
        <f t="shared" si="3"/>
        <v>FL-202  "Z" Closure (TS-324)</v>
      </c>
    </row>
    <row r="270" spans="16:18" ht="12.75" customHeight="1" x14ac:dyDescent="0.25">
      <c r="P270" s="133" t="s">
        <v>649</v>
      </c>
      <c r="Q270" s="213" t="s">
        <v>973</v>
      </c>
      <c r="R270" s="218" t="str">
        <f t="shared" si="3"/>
        <v>FL-203A  Peak Box 1/2:12 (SSR Roof)</v>
      </c>
    </row>
    <row r="271" spans="16:18" ht="12.75" customHeight="1" x14ac:dyDescent="0.25">
      <c r="P271" s="133" t="s">
        <v>650</v>
      </c>
      <c r="Q271" s="213" t="s">
        <v>975</v>
      </c>
      <c r="R271" s="218" t="str">
        <f t="shared" si="3"/>
        <v>FL-203B  Peak Box 1:12 (SSR Roof)</v>
      </c>
    </row>
    <row r="272" spans="16:18" ht="12.75" customHeight="1" x14ac:dyDescent="0.25">
      <c r="P272" s="133" t="s">
        <v>651</v>
      </c>
      <c r="Q272" s="213" t="s">
        <v>974</v>
      </c>
      <c r="R272" s="218" t="str">
        <f t="shared" si="3"/>
        <v>FL-203C  Peak Box 2:12 (SSR Roof)</v>
      </c>
    </row>
    <row r="273" spans="16:18" ht="12.75" customHeight="1" x14ac:dyDescent="0.25">
      <c r="P273" s="133" t="s">
        <v>1331</v>
      </c>
      <c r="Q273" s="213" t="s">
        <v>1332</v>
      </c>
      <c r="R273" s="218" t="str">
        <f t="shared" si="3"/>
        <v>FL-203D  Peak Box 3:12 (SSR Roof)</v>
      </c>
    </row>
    <row r="274" spans="16:18" ht="12.75" customHeight="1" x14ac:dyDescent="0.25">
      <c r="P274" s="133" t="s">
        <v>652</v>
      </c>
      <c r="Q274" s="213" t="s">
        <v>970</v>
      </c>
      <c r="R274" s="218" t="str">
        <f t="shared" si="3"/>
        <v>FL-204  Eave Gutter (TS-324)</v>
      </c>
    </row>
    <row r="275" spans="16:18" ht="12.75" customHeight="1" x14ac:dyDescent="0.25">
      <c r="P275" s="133" t="s">
        <v>971</v>
      </c>
      <c r="Q275" s="213" t="s">
        <v>1225</v>
      </c>
      <c r="R275" s="218" t="str">
        <f t="shared" si="3"/>
        <v>FL-204 R  Eave Gutter Mitered Rt (TS-324)</v>
      </c>
    </row>
    <row r="276" spans="16:18" ht="12.75" customHeight="1" x14ac:dyDescent="0.25">
      <c r="P276" s="133" t="s">
        <v>972</v>
      </c>
      <c r="Q276" s="213" t="s">
        <v>1224</v>
      </c>
      <c r="R276" s="218" t="str">
        <f t="shared" si="3"/>
        <v>FL-204 L  Eave Gutter Mitered Lt (TS-324)</v>
      </c>
    </row>
    <row r="277" spans="16:18" ht="12.75" customHeight="1" x14ac:dyDescent="0.25">
      <c r="P277" s="133" t="s">
        <v>969</v>
      </c>
      <c r="Q277" s="213" t="s">
        <v>1223</v>
      </c>
      <c r="R277" s="218" t="str">
        <f t="shared" si="3"/>
        <v>FL-205 R  Eave Gutter End Cap Rt (TS-324)</v>
      </c>
    </row>
    <row r="278" spans="16:18" ht="12.75" customHeight="1" x14ac:dyDescent="0.25">
      <c r="P278" s="133" t="s">
        <v>968</v>
      </c>
      <c r="Q278" s="213" t="s">
        <v>1222</v>
      </c>
      <c r="R278" s="218" t="str">
        <f t="shared" si="3"/>
        <v>FL-205 L  Eave Gutter End Cap Lt (TS-324)</v>
      </c>
    </row>
    <row r="279" spans="16:18" ht="12.75" customHeight="1" x14ac:dyDescent="0.25">
      <c r="P279" s="133" t="s">
        <v>653</v>
      </c>
      <c r="Q279" s="213" t="s">
        <v>965</v>
      </c>
      <c r="R279" s="218" t="str">
        <f t="shared" si="3"/>
        <v>FL-206  Rake Trim (SSR Roof)</v>
      </c>
    </row>
    <row r="280" spans="16:18" ht="12.75" customHeight="1" x14ac:dyDescent="0.25">
      <c r="P280" s="133" t="s">
        <v>967</v>
      </c>
      <c r="Q280" s="213" t="s">
        <v>1221</v>
      </c>
      <c r="R280" s="218" t="str">
        <f t="shared" si="3"/>
        <v>FL-206 R  Rake Trim Mitered Rt (SSR Roof)</v>
      </c>
    </row>
    <row r="281" spans="16:18" ht="12.75" customHeight="1" x14ac:dyDescent="0.25">
      <c r="P281" s="133" t="s">
        <v>966</v>
      </c>
      <c r="Q281" s="213" t="s">
        <v>1220</v>
      </c>
      <c r="R281" s="218" t="str">
        <f t="shared" si="3"/>
        <v>FL-206 L  Rake Trim Mitered Lt (SSR Roof)</v>
      </c>
    </row>
    <row r="282" spans="16:18" ht="12.75" customHeight="1" x14ac:dyDescent="0.25">
      <c r="P282" s="133" t="s">
        <v>654</v>
      </c>
      <c r="Q282" s="213" t="s">
        <v>964</v>
      </c>
      <c r="R282" s="218" t="str">
        <f t="shared" si="3"/>
        <v>FL-207  Rake Slide Flashing</v>
      </c>
    </row>
    <row r="283" spans="16:18" ht="12.75" customHeight="1" x14ac:dyDescent="0.25">
      <c r="P283" s="133" t="s">
        <v>655</v>
      </c>
      <c r="Q283" s="213" t="s">
        <v>963</v>
      </c>
      <c r="R283" s="218" t="str">
        <f t="shared" si="3"/>
        <v>FL-208  Variable Termination Trim</v>
      </c>
    </row>
    <row r="284" spans="16:18" ht="12.75" customHeight="1" x14ac:dyDescent="0.25">
      <c r="P284" s="133" t="s">
        <v>656</v>
      </c>
      <c r="Q284" s="213" t="s">
        <v>961</v>
      </c>
      <c r="R284" s="218" t="str">
        <f t="shared" si="3"/>
        <v>FL-209  High Side Eave Trim Mitered</v>
      </c>
    </row>
    <row r="285" spans="16:18" ht="12.75" customHeight="1" x14ac:dyDescent="0.25">
      <c r="P285" s="133" t="s">
        <v>959</v>
      </c>
      <c r="Q285" s="213" t="s">
        <v>1219</v>
      </c>
      <c r="R285" s="218" t="str">
        <f t="shared" si="3"/>
        <v>FL-209 R  High Side Eave Trim Mitered Rt (TS-324)</v>
      </c>
    </row>
    <row r="286" spans="16:18" ht="12.75" customHeight="1" x14ac:dyDescent="0.25">
      <c r="P286" s="133" t="s">
        <v>960</v>
      </c>
      <c r="Q286" s="213" t="s">
        <v>1218</v>
      </c>
      <c r="R286" s="218" t="str">
        <f t="shared" si="3"/>
        <v>FL-209 L  High Side Eave Trim Mitered Lt (TS-324)</v>
      </c>
    </row>
    <row r="287" spans="16:18" ht="12.75" customHeight="1" x14ac:dyDescent="0.25">
      <c r="P287" s="133" t="s">
        <v>957</v>
      </c>
      <c r="Q287" s="213" t="s">
        <v>1217</v>
      </c>
      <c r="R287" s="218" t="str">
        <f t="shared" si="3"/>
        <v>FL-210 R  High Side End Cap Rt (TS-324)</v>
      </c>
    </row>
    <row r="288" spans="16:18" ht="12.75" customHeight="1" x14ac:dyDescent="0.25">
      <c r="P288" s="133" t="s">
        <v>958</v>
      </c>
      <c r="Q288" s="213" t="s">
        <v>1216</v>
      </c>
      <c r="R288" s="218" t="str">
        <f t="shared" si="3"/>
        <v>FL-210 L  High Side End Cap Lt (TS-324)</v>
      </c>
    </row>
    <row r="289" spans="1:18" ht="12.75" customHeight="1" x14ac:dyDescent="0.25">
      <c r="P289" s="133" t="s">
        <v>657</v>
      </c>
      <c r="Q289" s="213" t="s">
        <v>953</v>
      </c>
      <c r="R289" s="218" t="str">
        <f t="shared" si="3"/>
        <v>FL-211  Sculptured Low Side Eave Trim (TS-324)</v>
      </c>
    </row>
    <row r="290" spans="1:18" ht="12.75" customHeight="1" x14ac:dyDescent="0.25">
      <c r="P290" s="133" t="s">
        <v>1599</v>
      </c>
      <c r="Q290" s="213" t="s">
        <v>1600</v>
      </c>
      <c r="R290" s="218" t="str">
        <f t="shared" si="3"/>
        <v>FL-211 R  Sculptured Low Side Eave Trim Mitered Rt (TS-324)</v>
      </c>
    </row>
    <row r="291" spans="1:18" ht="12.75" customHeight="1" x14ac:dyDescent="0.25">
      <c r="P291" s="133" t="s">
        <v>1587</v>
      </c>
      <c r="Q291" s="213" t="s">
        <v>1588</v>
      </c>
      <c r="R291" s="218" t="str">
        <f t="shared" si="3"/>
        <v>FL-211 L  Sculptured Low Side Eave Trim Mitered Lt (TS-324)</v>
      </c>
    </row>
    <row r="292" spans="1:18" ht="12.75" customHeight="1" x14ac:dyDescent="0.25">
      <c r="P292" s="133" t="s">
        <v>951</v>
      </c>
      <c r="Q292" s="213" t="s">
        <v>1215</v>
      </c>
      <c r="R292" s="218" t="str">
        <f t="shared" si="3"/>
        <v>FL-212 R  Low Side End Cap Rt (TS-324)</v>
      </c>
    </row>
    <row r="293" spans="1:18" ht="12.75" customHeight="1" x14ac:dyDescent="0.25">
      <c r="P293" s="133" t="s">
        <v>952</v>
      </c>
      <c r="Q293" s="213" t="s">
        <v>1214</v>
      </c>
      <c r="R293" s="218" t="str">
        <f t="shared" si="3"/>
        <v>FL-212 L  Low Side End Cap Lt (TS-324)</v>
      </c>
    </row>
    <row r="294" spans="1:18" ht="12.75" customHeight="1" x14ac:dyDescent="0.25">
      <c r="P294" s="133" t="s">
        <v>658</v>
      </c>
      <c r="Q294" s="213" t="s">
        <v>950</v>
      </c>
      <c r="R294" s="218" t="str">
        <f t="shared" si="3"/>
        <v>FL-213  Offset Panel Cap Trim</v>
      </c>
    </row>
    <row r="295" spans="1:18" ht="12.75" customHeight="1" x14ac:dyDescent="0.25">
      <c r="P295" s="133" t="s">
        <v>659</v>
      </c>
      <c r="Q295" s="213" t="s">
        <v>949</v>
      </c>
      <c r="R295" s="218" t="str">
        <f t="shared" si="3"/>
        <v>FL-214  Flat Eave Trim (SSR Panel)</v>
      </c>
    </row>
    <row r="296" spans="1:18" ht="12.75" customHeight="1" x14ac:dyDescent="0.25">
      <c r="P296" s="133" t="s">
        <v>1333</v>
      </c>
      <c r="Q296" s="213" t="s">
        <v>321</v>
      </c>
      <c r="R296" s="218" t="str">
        <f t="shared" si="3"/>
        <v>FL-215  Rake Trim End Cap (SSR Roof)</v>
      </c>
    </row>
    <row r="297" spans="1:18" ht="12.75" customHeight="1" x14ac:dyDescent="0.25">
      <c r="P297" s="133" t="s">
        <v>660</v>
      </c>
      <c r="Q297" s="213" t="s">
        <v>948</v>
      </c>
      <c r="R297" s="218" t="str">
        <f t="shared" si="3"/>
        <v>FL-217  Lowside Eave Corner Box</v>
      </c>
    </row>
    <row r="298" spans="1:18" ht="12.75" customHeight="1" x14ac:dyDescent="0.25">
      <c r="P298" s="133" t="s">
        <v>661</v>
      </c>
      <c r="Q298" s="213" t="s">
        <v>947</v>
      </c>
      <c r="R298" s="218" t="str">
        <f t="shared" si="3"/>
        <v>FL-218  Counter Flash</v>
      </c>
    </row>
    <row r="299" spans="1:18" ht="12.75" customHeight="1" x14ac:dyDescent="0.25">
      <c r="D299" s="39" t="s">
        <v>1410</v>
      </c>
      <c r="P299" s="133" t="s">
        <v>662</v>
      </c>
      <c r="Q299" s="213" t="s">
        <v>946</v>
      </c>
      <c r="R299" s="218" t="str">
        <f t="shared" si="3"/>
        <v>FL-219  Alternate Counter Flash</v>
      </c>
    </row>
    <row r="300" spans="1:18" ht="12.75" customHeight="1" x14ac:dyDescent="0.3">
      <c r="A300" s="128" t="s">
        <v>1433</v>
      </c>
      <c r="D300" s="39" t="s">
        <v>1411</v>
      </c>
      <c r="E300" s="39" t="s">
        <v>1431</v>
      </c>
      <c r="F300" s="39" t="s">
        <v>1432</v>
      </c>
      <c r="P300" s="133" t="s">
        <v>663</v>
      </c>
      <c r="Q300" s="213" t="s">
        <v>945</v>
      </c>
      <c r="R300" s="218" t="str">
        <f t="shared" si="3"/>
        <v>FL-220  Offset Cleat</v>
      </c>
    </row>
    <row r="301" spans="1:18" ht="12.75" customHeight="1" x14ac:dyDescent="0.3">
      <c r="A301" s="222" t="s">
        <v>1645</v>
      </c>
      <c r="D301" s="39" t="s">
        <v>1412</v>
      </c>
      <c r="E301" s="128" t="s">
        <v>486</v>
      </c>
      <c r="F301" s="39" t="s">
        <v>1393</v>
      </c>
      <c r="P301" s="133" t="s">
        <v>664</v>
      </c>
      <c r="Q301" s="213" t="s">
        <v>944</v>
      </c>
      <c r="R301" s="218" t="str">
        <f t="shared" si="3"/>
        <v xml:space="preserve">FL-221  High Side Parapet Trim </v>
      </c>
    </row>
    <row r="302" spans="1:18" ht="12.75" customHeight="1" x14ac:dyDescent="0.3">
      <c r="A302" s="222" t="s">
        <v>1649</v>
      </c>
      <c r="D302" s="39" t="s">
        <v>1413</v>
      </c>
      <c r="E302" s="128" t="s">
        <v>486</v>
      </c>
      <c r="F302" s="39" t="s">
        <v>1393</v>
      </c>
      <c r="P302" s="133" t="s">
        <v>665</v>
      </c>
      <c r="Q302" s="213" t="s">
        <v>944</v>
      </c>
      <c r="R302" s="218" t="str">
        <f t="shared" si="3"/>
        <v xml:space="preserve">FL-222  High Side Parapet Trim </v>
      </c>
    </row>
    <row r="303" spans="1:18" ht="12.75" customHeight="1" x14ac:dyDescent="0.3">
      <c r="A303" s="222" t="s">
        <v>1650</v>
      </c>
      <c r="D303" s="39" t="s">
        <v>1414</v>
      </c>
      <c r="E303" s="128" t="s">
        <v>486</v>
      </c>
      <c r="F303" s="39" t="s">
        <v>1393</v>
      </c>
      <c r="P303" s="133" t="s">
        <v>666</v>
      </c>
      <c r="Q303" s="213" t="s">
        <v>943</v>
      </c>
      <c r="R303" s="218" t="str">
        <f t="shared" si="3"/>
        <v>FL-223  Parapet Rake (Fixed)</v>
      </c>
    </row>
    <row r="304" spans="1:18" ht="12.75" customHeight="1" x14ac:dyDescent="0.3">
      <c r="A304" s="222" t="s">
        <v>1645</v>
      </c>
      <c r="D304" s="39" t="s">
        <v>1416</v>
      </c>
      <c r="E304" s="128" t="s">
        <v>486</v>
      </c>
      <c r="F304" s="39" t="s">
        <v>1392</v>
      </c>
      <c r="P304" s="133" t="s">
        <v>667</v>
      </c>
      <c r="Q304" s="213" t="s">
        <v>942</v>
      </c>
      <c r="R304" s="218" t="str">
        <f t="shared" si="3"/>
        <v>FL-224  Parapet Rake Flash</v>
      </c>
    </row>
    <row r="305" spans="1:18" ht="12.75" customHeight="1" x14ac:dyDescent="0.3">
      <c r="A305" s="222" t="s">
        <v>1649</v>
      </c>
      <c r="D305" s="39" t="s">
        <v>1415</v>
      </c>
      <c r="E305" s="128" t="s">
        <v>486</v>
      </c>
      <c r="F305" s="39" t="s">
        <v>1392</v>
      </c>
      <c r="P305" s="133" t="s">
        <v>668</v>
      </c>
      <c r="Q305" s="213" t="s">
        <v>941</v>
      </c>
      <c r="R305" s="218" t="str">
        <f t="shared" si="3"/>
        <v>FL-225  Parapet Rake Cleat</v>
      </c>
    </row>
    <row r="306" spans="1:18" ht="12.75" customHeight="1" x14ac:dyDescent="0.3">
      <c r="A306" s="222" t="s">
        <v>1650</v>
      </c>
      <c r="D306" s="39" t="s">
        <v>1417</v>
      </c>
      <c r="E306" s="128" t="s">
        <v>486</v>
      </c>
      <c r="F306" s="39" t="s">
        <v>1392</v>
      </c>
      <c r="P306" s="133" t="s">
        <v>669</v>
      </c>
      <c r="Q306" s="213" t="s">
        <v>940</v>
      </c>
      <c r="R306" s="218" t="str">
        <f t="shared" si="3"/>
        <v>FL-226  LTP Flashing</v>
      </c>
    </row>
    <row r="307" spans="1:18" ht="12.75" customHeight="1" x14ac:dyDescent="0.3">
      <c r="A307" s="222" t="s">
        <v>1645</v>
      </c>
      <c r="D307" s="39" t="s">
        <v>1419</v>
      </c>
      <c r="E307" s="128" t="s">
        <v>485</v>
      </c>
      <c r="F307" s="39" t="s">
        <v>1392</v>
      </c>
      <c r="P307" s="133" t="s">
        <v>670</v>
      </c>
      <c r="Q307" s="213" t="s">
        <v>979</v>
      </c>
      <c r="R307" s="218" t="str">
        <f t="shared" si="3"/>
        <v>FL-230  "Z" Closure (VS-216)</v>
      </c>
    </row>
    <row r="308" spans="1:18" ht="12.75" customHeight="1" x14ac:dyDescent="0.3">
      <c r="A308" s="222" t="s">
        <v>1649</v>
      </c>
      <c r="D308" s="39" t="s">
        <v>1418</v>
      </c>
      <c r="E308" s="128" t="s">
        <v>485</v>
      </c>
      <c r="F308" s="39" t="s">
        <v>1392</v>
      </c>
      <c r="P308" s="133" t="s">
        <v>1</v>
      </c>
      <c r="Q308" s="213" t="s">
        <v>2</v>
      </c>
      <c r="R308" s="218" t="str">
        <f t="shared" si="3"/>
        <v>FL-231  "Z" Closure (FW)</v>
      </c>
    </row>
    <row r="309" spans="1:18" ht="12.75" customHeight="1" x14ac:dyDescent="0.3">
      <c r="A309" s="222" t="s">
        <v>1650</v>
      </c>
      <c r="D309" s="39" t="s">
        <v>1420</v>
      </c>
      <c r="E309" s="128" t="s">
        <v>485</v>
      </c>
      <c r="F309" s="39" t="s">
        <v>1392</v>
      </c>
      <c r="P309" s="133" t="s">
        <v>3</v>
      </c>
      <c r="Q309" s="213" t="s">
        <v>4</v>
      </c>
      <c r="R309" s="218" t="str">
        <f t="shared" si="3"/>
        <v>FL-232  Panel Cap</v>
      </c>
    </row>
    <row r="310" spans="1:18" ht="12.75" customHeight="1" x14ac:dyDescent="0.3">
      <c r="A310" s="222" t="s">
        <v>1646</v>
      </c>
      <c r="D310" s="39" t="s">
        <v>1421</v>
      </c>
      <c r="E310" s="128" t="s">
        <v>486</v>
      </c>
      <c r="F310" s="39" t="s">
        <v>1393</v>
      </c>
      <c r="P310" s="133" t="s">
        <v>5</v>
      </c>
      <c r="Q310" s="213" t="s">
        <v>11</v>
      </c>
      <c r="R310" s="218" t="str">
        <f t="shared" si="3"/>
        <v>FL-233  Fascia Sill Trim</v>
      </c>
    </row>
    <row r="311" spans="1:18" ht="12.75" customHeight="1" x14ac:dyDescent="0.3">
      <c r="A311" s="222" t="s">
        <v>1647</v>
      </c>
      <c r="D311" s="39" t="s">
        <v>1422</v>
      </c>
      <c r="E311" s="128" t="s">
        <v>486</v>
      </c>
      <c r="F311" s="39" t="s">
        <v>1393</v>
      </c>
      <c r="P311" s="133" t="s">
        <v>6</v>
      </c>
      <c r="Q311" s="213" t="s">
        <v>12</v>
      </c>
      <c r="R311" s="218" t="str">
        <f t="shared" si="3"/>
        <v>FL-234  Soffit Panel Splice Trim</v>
      </c>
    </row>
    <row r="312" spans="1:18" ht="12.75" customHeight="1" x14ac:dyDescent="0.3">
      <c r="A312" s="222" t="s">
        <v>1648</v>
      </c>
      <c r="D312" s="39" t="s">
        <v>1423</v>
      </c>
      <c r="E312" s="128" t="s">
        <v>486</v>
      </c>
      <c r="F312" s="39" t="s">
        <v>1393</v>
      </c>
      <c r="P312" s="133" t="s">
        <v>7</v>
      </c>
      <c r="Q312" s="213" t="s">
        <v>13</v>
      </c>
      <c r="R312" s="218" t="str">
        <f t="shared" si="3"/>
        <v>FL-235  2x3 Inside Angle</v>
      </c>
    </row>
    <row r="313" spans="1:18" ht="12.75" customHeight="1" x14ac:dyDescent="0.3">
      <c r="A313" s="222" t="s">
        <v>1646</v>
      </c>
      <c r="D313" s="39" t="s">
        <v>1424</v>
      </c>
      <c r="E313" s="128" t="s">
        <v>486</v>
      </c>
      <c r="F313" s="39" t="s">
        <v>1392</v>
      </c>
      <c r="P313" s="133" t="s">
        <v>8</v>
      </c>
      <c r="Q313" s="213" t="s">
        <v>13</v>
      </c>
      <c r="R313" s="218" t="str">
        <f t="shared" si="3"/>
        <v>FL-236  2x3 Inside Angle</v>
      </c>
    </row>
    <row r="314" spans="1:18" ht="12.75" customHeight="1" x14ac:dyDescent="0.3">
      <c r="A314" s="222" t="s">
        <v>1647</v>
      </c>
      <c r="D314" s="39" t="s">
        <v>1425</v>
      </c>
      <c r="E314" s="128" t="s">
        <v>486</v>
      </c>
      <c r="F314" s="39" t="s">
        <v>1392</v>
      </c>
      <c r="P314" s="133" t="s">
        <v>9</v>
      </c>
      <c r="Q314" s="217" t="s">
        <v>1471</v>
      </c>
      <c r="R314" s="218" t="str">
        <f t="shared" si="3"/>
        <v>FL-237  Wainscot Transition Trim (PBR/A Panel)</v>
      </c>
    </row>
    <row r="315" spans="1:18" ht="12.75" customHeight="1" x14ac:dyDescent="0.3">
      <c r="A315" s="222" t="s">
        <v>1648</v>
      </c>
      <c r="D315" s="39" t="s">
        <v>1426</v>
      </c>
      <c r="E315" s="128" t="s">
        <v>486</v>
      </c>
      <c r="F315" s="39" t="s">
        <v>1392</v>
      </c>
      <c r="P315" s="133" t="s">
        <v>10</v>
      </c>
      <c r="Q315" s="217" t="s">
        <v>14</v>
      </c>
      <c r="R315" s="218" t="str">
        <f t="shared" si="3"/>
        <v>FL-238  Wainscot Transition Trim (PBU Panel)</v>
      </c>
    </row>
    <row r="316" spans="1:18" ht="12.75" customHeight="1" x14ac:dyDescent="0.3">
      <c r="A316" s="222" t="s">
        <v>1646</v>
      </c>
      <c r="D316" s="39" t="s">
        <v>1427</v>
      </c>
      <c r="E316" s="128" t="s">
        <v>485</v>
      </c>
      <c r="F316" s="39" t="s">
        <v>1392</v>
      </c>
      <c r="P316" s="133" t="s">
        <v>121</v>
      </c>
      <c r="Q316" s="213" t="s">
        <v>122</v>
      </c>
      <c r="R316" s="218" t="str">
        <f t="shared" ref="R316:R403" si="4">$P316 &amp; "  " &amp; $Q316</f>
        <v>FL-239  Liner Conversion Trim (PBU Panel)</v>
      </c>
    </row>
    <row r="317" spans="1:18" ht="12.75" customHeight="1" x14ac:dyDescent="0.3">
      <c r="A317" s="222" t="s">
        <v>1647</v>
      </c>
      <c r="D317" s="39" t="s">
        <v>1428</v>
      </c>
      <c r="E317" s="128" t="s">
        <v>485</v>
      </c>
      <c r="F317" s="39" t="s">
        <v>1392</v>
      </c>
      <c r="P317" s="133" t="s">
        <v>123</v>
      </c>
      <c r="Q317" s="213" t="s">
        <v>124</v>
      </c>
      <c r="R317" s="218" t="str">
        <f t="shared" si="4"/>
        <v>FL-240  Downspout Canopy Return</v>
      </c>
    </row>
    <row r="318" spans="1:18" ht="12.75" customHeight="1" x14ac:dyDescent="0.3">
      <c r="A318" s="222" t="s">
        <v>1648</v>
      </c>
      <c r="D318" s="39" t="s">
        <v>1429</v>
      </c>
      <c r="E318" s="128" t="s">
        <v>485</v>
      </c>
      <c r="F318" s="39" t="s">
        <v>1392</v>
      </c>
      <c r="P318" s="133" t="s">
        <v>1394</v>
      </c>
      <c r="Q318" s="213" t="s">
        <v>1395</v>
      </c>
      <c r="R318" s="218" t="str">
        <f t="shared" si="4"/>
        <v>FL-241  High Eave Space Trim (8" Eave Strut)</v>
      </c>
    </row>
    <row r="319" spans="1:18" ht="12.75" customHeight="1" x14ac:dyDescent="0.3">
      <c r="A319" s="222" t="s">
        <v>1651</v>
      </c>
      <c r="D319" s="39" t="s">
        <v>1430</v>
      </c>
      <c r="E319" s="222" t="s">
        <v>1443</v>
      </c>
      <c r="F319" s="39" t="s">
        <v>1392</v>
      </c>
      <c r="P319" s="133" t="s">
        <v>82</v>
      </c>
      <c r="Q319" s="213" t="s">
        <v>84</v>
      </c>
      <c r="R319" s="218" t="str">
        <f t="shared" si="4"/>
        <v>FL-242  Liner Conversion Trim (Flush) (PBR Panel)</v>
      </c>
    </row>
    <row r="320" spans="1:18" ht="12.75" customHeight="1" x14ac:dyDescent="0.3">
      <c r="A320" s="222" t="s">
        <v>1652</v>
      </c>
      <c r="D320" s="39"/>
      <c r="E320" s="222" t="s">
        <v>1443</v>
      </c>
      <c r="F320" s="39" t="s">
        <v>1392</v>
      </c>
      <c r="P320" s="133" t="s">
        <v>83</v>
      </c>
      <c r="Q320" s="213" t="s">
        <v>85</v>
      </c>
      <c r="R320" s="218" t="str">
        <f t="shared" si="4"/>
        <v>FL-243  Liner Conversion Trim (Flush) (PBU Panel)</v>
      </c>
    </row>
    <row r="321" spans="16:18" ht="12.75" customHeight="1" x14ac:dyDescent="0.25">
      <c r="P321" s="133" t="s">
        <v>86</v>
      </c>
      <c r="Q321" s="213" t="s">
        <v>4</v>
      </c>
      <c r="R321" s="218" t="str">
        <f t="shared" si="4"/>
        <v>FL-244  Panel Cap</v>
      </c>
    </row>
    <row r="322" spans="16:18" ht="12.75" customHeight="1" x14ac:dyDescent="0.25">
      <c r="P322" s="133" t="s">
        <v>87</v>
      </c>
      <c r="Q322" s="213" t="s">
        <v>90</v>
      </c>
      <c r="R322" s="218" t="str">
        <f t="shared" si="4"/>
        <v>FL-245  Channel Rafter Closure Trim (PBR)</v>
      </c>
    </row>
    <row r="323" spans="16:18" ht="12.75" customHeight="1" x14ac:dyDescent="0.25">
      <c r="P323" s="133" t="s">
        <v>88</v>
      </c>
      <c r="Q323" s="213" t="s">
        <v>89</v>
      </c>
      <c r="R323" s="218" t="str">
        <f t="shared" si="4"/>
        <v>FL-246  Channel Rafter Closure Trim (PBU)</v>
      </c>
    </row>
    <row r="324" spans="16:18" ht="12.75" customHeight="1" x14ac:dyDescent="0.25">
      <c r="P324" s="215" t="s">
        <v>125</v>
      </c>
      <c r="Q324" s="216" t="s">
        <v>126</v>
      </c>
      <c r="R324" s="218" t="str">
        <f t="shared" si="4"/>
        <v>FL-270  Shadow Eave Gutter (TS-324 Panel)</v>
      </c>
    </row>
    <row r="325" spans="16:18" ht="12.75" customHeight="1" x14ac:dyDescent="0.25">
      <c r="P325" s="215" t="s">
        <v>127</v>
      </c>
      <c r="Q325" s="216" t="s">
        <v>129</v>
      </c>
      <c r="R325" s="218" t="str">
        <f t="shared" si="4"/>
        <v>FL-270 R  Shadow Eave Gutter Mitered Rt (TS-324 Panel)</v>
      </c>
    </row>
    <row r="326" spans="16:18" ht="12.75" customHeight="1" x14ac:dyDescent="0.25">
      <c r="P326" s="215" t="s">
        <v>128</v>
      </c>
      <c r="Q326" s="216" t="s">
        <v>130</v>
      </c>
      <c r="R326" s="218" t="str">
        <f t="shared" si="4"/>
        <v>FL-270 L  Shadow Eave Gutter Mitered Lt (TS-324 Panel)</v>
      </c>
    </row>
    <row r="327" spans="16:18" ht="12.75" customHeight="1" x14ac:dyDescent="0.25">
      <c r="P327" s="215" t="s">
        <v>134</v>
      </c>
      <c r="Q327" s="216" t="s">
        <v>131</v>
      </c>
      <c r="R327" s="218" t="str">
        <f t="shared" si="4"/>
        <v>FL-272  Shadow Eave Gutter (VS-216 Panel)</v>
      </c>
    </row>
    <row r="328" spans="16:18" ht="12.75" customHeight="1" x14ac:dyDescent="0.25">
      <c r="P328" s="215" t="s">
        <v>135</v>
      </c>
      <c r="Q328" s="216" t="s">
        <v>132</v>
      </c>
      <c r="R328" s="218" t="str">
        <f t="shared" si="4"/>
        <v>FL-272 R  Shadow Eave Gutter Mitered Rt (VS-216 Panel)</v>
      </c>
    </row>
    <row r="329" spans="16:18" ht="12.75" customHeight="1" x14ac:dyDescent="0.25">
      <c r="P329" s="215" t="s">
        <v>136</v>
      </c>
      <c r="Q329" s="216" t="s">
        <v>133</v>
      </c>
      <c r="R329" s="218" t="str">
        <f t="shared" si="4"/>
        <v>FL-272 L  Shadow Eave Gutter Mitered Lt (VS-216 Panel)</v>
      </c>
    </row>
    <row r="330" spans="16:18" ht="12.75" customHeight="1" x14ac:dyDescent="0.25">
      <c r="P330" s="133" t="s">
        <v>221</v>
      </c>
      <c r="Q330" s="213" t="s">
        <v>222</v>
      </c>
      <c r="R330" s="218" t="str">
        <f t="shared" si="4"/>
        <v>FL-274  Shadow Rake Trim End Cap (SSR Roof)</v>
      </c>
    </row>
    <row r="331" spans="16:18" ht="12.75" customHeight="1" x14ac:dyDescent="0.25">
      <c r="P331" s="215" t="s">
        <v>137</v>
      </c>
      <c r="Q331" s="216" t="s">
        <v>138</v>
      </c>
      <c r="R331" s="218" t="str">
        <f t="shared" si="4"/>
        <v>FL-275  Shadow Rake Trim (SSR Panel)</v>
      </c>
    </row>
    <row r="332" spans="16:18" ht="12.75" customHeight="1" x14ac:dyDescent="0.25">
      <c r="P332" s="215" t="s">
        <v>139</v>
      </c>
      <c r="Q332" s="216" t="s">
        <v>140</v>
      </c>
      <c r="R332" s="218" t="str">
        <f t="shared" si="4"/>
        <v>FL-275 R  Shadow Rake Trim Mitered Rt (SSR Panel)</v>
      </c>
    </row>
    <row r="333" spans="16:18" ht="12.75" customHeight="1" x14ac:dyDescent="0.25">
      <c r="P333" s="215" t="s">
        <v>141</v>
      </c>
      <c r="Q333" s="216" t="s">
        <v>142</v>
      </c>
      <c r="R333" s="218" t="str">
        <f t="shared" si="4"/>
        <v>FL-275 L  Shadow Rake Trim Mitered Lt (SSR Panel)</v>
      </c>
    </row>
    <row r="334" spans="16:18" ht="12.75" customHeight="1" x14ac:dyDescent="0.25">
      <c r="P334" s="215" t="s">
        <v>143</v>
      </c>
      <c r="Q334" s="216" t="s">
        <v>144</v>
      </c>
      <c r="R334" s="218" t="str">
        <f t="shared" si="4"/>
        <v>FL-280A  Shadow Peak Box (SSR Roof)(  Sign)</v>
      </c>
    </row>
    <row r="335" spans="16:18" ht="12.75" customHeight="1" x14ac:dyDescent="0.25">
      <c r="P335" s="215" t="s">
        <v>145</v>
      </c>
      <c r="Q335" s="216" t="s">
        <v>144</v>
      </c>
      <c r="R335" s="218" t="str">
        <f t="shared" si="4"/>
        <v>FL-280B  Shadow Peak Box (SSR Roof)(  Sign)</v>
      </c>
    </row>
    <row r="336" spans="16:18" ht="12.75" customHeight="1" x14ac:dyDescent="0.25">
      <c r="P336" s="215" t="s">
        <v>146</v>
      </c>
      <c r="Q336" s="216" t="s">
        <v>144</v>
      </c>
      <c r="R336" s="218" t="str">
        <f t="shared" si="4"/>
        <v>FL-280C  Shadow Peak Box (SSR Roof)(  Sign)</v>
      </c>
    </row>
    <row r="337" spans="16:18" ht="12.75" customHeight="1" x14ac:dyDescent="0.25">
      <c r="P337" s="133" t="s">
        <v>64</v>
      </c>
      <c r="Q337" s="213" t="s">
        <v>66</v>
      </c>
      <c r="R337" s="218" t="str">
        <f t="shared" si="4"/>
        <v>FL-285  Partition Trim (10" Purlins)</v>
      </c>
    </row>
    <row r="338" spans="16:18" ht="12.75" customHeight="1" x14ac:dyDescent="0.25">
      <c r="P338" s="133" t="s">
        <v>65</v>
      </c>
      <c r="Q338" s="213" t="s">
        <v>91</v>
      </c>
      <c r="R338" s="218" t="str">
        <f t="shared" si="4"/>
        <v>FL-286  Partition Trim (10" Girts)</v>
      </c>
    </row>
    <row r="339" spans="16:18" ht="12.75" customHeight="1" x14ac:dyDescent="0.25">
      <c r="P339" s="133" t="s">
        <v>67</v>
      </c>
      <c r="Q339" s="213" t="s">
        <v>68</v>
      </c>
      <c r="R339" s="218" t="str">
        <f t="shared" si="4"/>
        <v>FL-290  High Side Masonry Eave Trim</v>
      </c>
    </row>
    <row r="340" spans="16:18" ht="12.75" customHeight="1" x14ac:dyDescent="0.25">
      <c r="P340" s="133" t="s">
        <v>69</v>
      </c>
      <c r="Q340" s="213" t="s">
        <v>1708</v>
      </c>
      <c r="R340" s="218" t="str">
        <f t="shared" si="4"/>
        <v>FL-291  Low Side Masonry Eave and Rake Trim</v>
      </c>
    </row>
    <row r="341" spans="16:18" ht="12.75" customHeight="1" x14ac:dyDescent="0.25">
      <c r="P341" s="133" t="s">
        <v>15</v>
      </c>
      <c r="Q341" s="213" t="s">
        <v>16</v>
      </c>
      <c r="R341" s="218" t="str">
        <f t="shared" si="4"/>
        <v>FL-300  F.O. Cover Trim (10")</v>
      </c>
    </row>
    <row r="342" spans="16:18" x14ac:dyDescent="0.25">
      <c r="P342" s="133" t="s">
        <v>18</v>
      </c>
      <c r="Q342" s="213" t="s">
        <v>17</v>
      </c>
      <c r="R342" s="218" t="str">
        <f t="shared" si="4"/>
        <v>FL-301  F.O. Cover Trim (12")</v>
      </c>
    </row>
    <row r="343" spans="16:18" x14ac:dyDescent="0.25">
      <c r="P343" s="133" t="s">
        <v>71</v>
      </c>
      <c r="Q343" s="213" t="s">
        <v>72</v>
      </c>
      <c r="R343" s="218" t="str">
        <f t="shared" si="4"/>
        <v>FL-305  Downspout 6x6 (Straight)</v>
      </c>
    </row>
    <row r="344" spans="16:18" x14ac:dyDescent="0.25">
      <c r="P344" s="133" t="s">
        <v>70</v>
      </c>
      <c r="Q344" s="213" t="s">
        <v>19</v>
      </c>
      <c r="R344" s="218" t="str">
        <f t="shared" si="4"/>
        <v>FL-306  Downspout 8x8 (Straight)</v>
      </c>
    </row>
    <row r="345" spans="16:18" x14ac:dyDescent="0.25">
      <c r="P345" s="133" t="s">
        <v>73</v>
      </c>
      <c r="Q345" s="213" t="s">
        <v>75</v>
      </c>
      <c r="R345" s="218" t="str">
        <f t="shared" si="4"/>
        <v>FL-307  Downspout with Kickout 6x6 (45º Elbow)</v>
      </c>
    </row>
    <row r="346" spans="16:18" x14ac:dyDescent="0.25">
      <c r="P346" s="133" t="s">
        <v>74</v>
      </c>
      <c r="Q346" s="213" t="s">
        <v>20</v>
      </c>
      <c r="R346" s="218" t="str">
        <f t="shared" si="4"/>
        <v>FL-308  Downspout with Kickout 8x8 (45º Elbow)</v>
      </c>
    </row>
    <row r="347" spans="16:18" x14ac:dyDescent="0.25">
      <c r="P347" s="133" t="s">
        <v>223</v>
      </c>
      <c r="Q347" s="213" t="s">
        <v>224</v>
      </c>
      <c r="R347" s="218" t="str">
        <f t="shared" si="4"/>
        <v>FL-310  Eave Closure Low Eave</v>
      </c>
    </row>
    <row r="348" spans="16:18" x14ac:dyDescent="0.25">
      <c r="P348" s="214" t="s">
        <v>77</v>
      </c>
      <c r="Q348" s="213" t="s">
        <v>736</v>
      </c>
      <c r="R348" s="218" t="str">
        <f t="shared" si="4"/>
        <v>FL-315  High Side Eave Trim (PBR Panel)</v>
      </c>
    </row>
    <row r="349" spans="16:18" x14ac:dyDescent="0.25">
      <c r="P349" s="214" t="s">
        <v>78</v>
      </c>
      <c r="Q349" s="213" t="s">
        <v>1439</v>
      </c>
      <c r="R349" s="218" t="str">
        <f t="shared" si="4"/>
        <v>FL-315 R  High Side Eave Trim Mitered Rt (PBR Panel)</v>
      </c>
    </row>
    <row r="350" spans="16:18" x14ac:dyDescent="0.25">
      <c r="P350" s="214" t="s">
        <v>79</v>
      </c>
      <c r="Q350" s="213" t="s">
        <v>1200</v>
      </c>
      <c r="R350" s="218" t="str">
        <f t="shared" si="4"/>
        <v>FL-315 L  High Side Eave Trim Mitered Lt (PBR Panel)</v>
      </c>
    </row>
    <row r="351" spans="16:18" x14ac:dyDescent="0.25">
      <c r="P351" s="214" t="s">
        <v>80</v>
      </c>
      <c r="Q351" s="213" t="s">
        <v>1201</v>
      </c>
      <c r="R351" s="218" t="str">
        <f t="shared" si="4"/>
        <v>FL-316 R  High Side End Cap Rt (PBR Panel)</v>
      </c>
    </row>
    <row r="352" spans="16:18" x14ac:dyDescent="0.25">
      <c r="P352" s="214" t="s">
        <v>81</v>
      </c>
      <c r="Q352" s="213" t="s">
        <v>1202</v>
      </c>
      <c r="R352" s="218" t="str">
        <f t="shared" si="4"/>
        <v>FL-316 L  High Side End Cap Lt (PBR Panel)</v>
      </c>
    </row>
    <row r="353" spans="16:18" x14ac:dyDescent="0.25">
      <c r="P353" s="133" t="s">
        <v>281</v>
      </c>
      <c r="Q353" s="213" t="s">
        <v>283</v>
      </c>
      <c r="R353" s="218" t="str">
        <f t="shared" si="4"/>
        <v>FL-320 R  Northern Shadow 10" Gutter End Cap Rt</v>
      </c>
    </row>
    <row r="354" spans="16:18" x14ac:dyDescent="0.25">
      <c r="P354" s="133" t="s">
        <v>282</v>
      </c>
      <c r="Q354" s="213" t="s">
        <v>284</v>
      </c>
      <c r="R354" s="218" t="str">
        <f t="shared" si="4"/>
        <v>FL-320 L  Northern Shadow 10" Gutter End Cap Lt</v>
      </c>
    </row>
    <row r="355" spans="16:18" x14ac:dyDescent="0.25">
      <c r="P355" s="133" t="s">
        <v>285</v>
      </c>
      <c r="Q355" s="213" t="s">
        <v>283</v>
      </c>
      <c r="R355" s="218" t="str">
        <f t="shared" si="4"/>
        <v>FL-321 R  Northern Shadow 10" Gutter End Cap Rt</v>
      </c>
    </row>
    <row r="356" spans="16:18" x14ac:dyDescent="0.25">
      <c r="P356" s="133" t="s">
        <v>286</v>
      </c>
      <c r="Q356" s="213" t="s">
        <v>284</v>
      </c>
      <c r="R356" s="218" t="str">
        <f t="shared" si="4"/>
        <v>FL-321 L  Northern Shadow 10" Gutter End Cap Lt</v>
      </c>
    </row>
    <row r="357" spans="16:18" x14ac:dyDescent="0.25">
      <c r="P357" s="133" t="s">
        <v>291</v>
      </c>
      <c r="Q357" s="213" t="s">
        <v>292</v>
      </c>
      <c r="R357" s="218" t="str">
        <f t="shared" si="4"/>
        <v>FL-325  Shadow Rake Trim End Cap (PBR Panel)</v>
      </c>
    </row>
    <row r="358" spans="16:18" x14ac:dyDescent="0.25">
      <c r="P358" s="133" t="s">
        <v>293</v>
      </c>
      <c r="Q358" s="213" t="s">
        <v>294</v>
      </c>
      <c r="R358" s="218" t="str">
        <f t="shared" si="4"/>
        <v>FL-326  Northern 10" Rake End Cap (PBR Panel)</v>
      </c>
    </row>
    <row r="359" spans="16:18" x14ac:dyDescent="0.25">
      <c r="P359" s="133" t="s">
        <v>93</v>
      </c>
      <c r="Q359" s="213" t="s">
        <v>94</v>
      </c>
      <c r="R359" s="218" t="str">
        <f t="shared" si="4"/>
        <v>FL-327 R  Rake Trim End Cap Rt (PBR Panel)</v>
      </c>
    </row>
    <row r="360" spans="16:18" x14ac:dyDescent="0.25">
      <c r="P360" s="133" t="s">
        <v>95</v>
      </c>
      <c r="Q360" s="213" t="s">
        <v>96</v>
      </c>
      <c r="R360" s="218" t="str">
        <f t="shared" si="4"/>
        <v>FL-327 L  Rake Trim End Cap Lt (PBR Panel)</v>
      </c>
    </row>
    <row r="361" spans="16:18" x14ac:dyDescent="0.25">
      <c r="P361" s="133" t="s">
        <v>295</v>
      </c>
      <c r="Q361" s="213" t="s">
        <v>299</v>
      </c>
      <c r="R361" s="218" t="str">
        <f t="shared" si="4"/>
        <v>FL-330  Northern Shadow Rake Trim (TS-324)</v>
      </c>
    </row>
    <row r="362" spans="16:18" x14ac:dyDescent="0.25">
      <c r="P362" s="133" t="s">
        <v>296</v>
      </c>
      <c r="Q362" s="213" t="s">
        <v>298</v>
      </c>
      <c r="R362" s="218" t="str">
        <f t="shared" si="4"/>
        <v>FL-330 R  Northern Shadow Rake Trim Mitered Rt (TS-324)</v>
      </c>
    </row>
    <row r="363" spans="16:18" x14ac:dyDescent="0.25">
      <c r="P363" s="133" t="s">
        <v>297</v>
      </c>
      <c r="Q363" s="213" t="s">
        <v>300</v>
      </c>
      <c r="R363" s="218" t="str">
        <f t="shared" si="4"/>
        <v>FL-330 L  Northern Shadow Rake Trim Mitered Lt (TS-324)</v>
      </c>
    </row>
    <row r="364" spans="16:18" x14ac:dyDescent="0.25">
      <c r="P364" s="133" t="s">
        <v>301</v>
      </c>
      <c r="Q364" s="213" t="s">
        <v>302</v>
      </c>
      <c r="R364" s="218" t="str">
        <f t="shared" si="4"/>
        <v>FL-331A  Northern Shadow Expansion Peak Box (TS-324)</v>
      </c>
    </row>
    <row r="365" spans="16:18" x14ac:dyDescent="0.25">
      <c r="P365" s="133" t="s">
        <v>303</v>
      </c>
      <c r="Q365" s="213" t="s">
        <v>302</v>
      </c>
      <c r="R365" s="218" t="str">
        <f t="shared" si="4"/>
        <v>FL-331B  Northern Shadow Expansion Peak Box (TS-324)</v>
      </c>
    </row>
    <row r="366" spans="16:18" x14ac:dyDescent="0.25">
      <c r="P366" s="133" t="s">
        <v>304</v>
      </c>
      <c r="Q366" s="213" t="s">
        <v>302</v>
      </c>
      <c r="R366" s="218" t="str">
        <f t="shared" si="4"/>
        <v>FL-331C  Northern Shadow Expansion Peak Box (TS-324)</v>
      </c>
    </row>
    <row r="367" spans="16:18" x14ac:dyDescent="0.25">
      <c r="P367" s="133" t="s">
        <v>305</v>
      </c>
      <c r="Q367" s="213" t="s">
        <v>302</v>
      </c>
      <c r="R367" s="218" t="str">
        <f t="shared" si="4"/>
        <v>FL-331D  Northern Shadow Expansion Peak Box (TS-324)</v>
      </c>
    </row>
    <row r="368" spans="16:18" x14ac:dyDescent="0.25">
      <c r="P368" s="133" t="s">
        <v>306</v>
      </c>
      <c r="Q368" s="213" t="s">
        <v>302</v>
      </c>
      <c r="R368" s="218" t="str">
        <f t="shared" si="4"/>
        <v>FL-331E  Northern Shadow Expansion Peak Box (TS-324)</v>
      </c>
    </row>
    <row r="369" spans="3:18" x14ac:dyDescent="0.25">
      <c r="P369" s="133" t="s">
        <v>307</v>
      </c>
      <c r="Q369" s="213" t="s">
        <v>310</v>
      </c>
      <c r="R369" s="218" t="str">
        <f t="shared" si="4"/>
        <v>FL-335  Northern Shadow Rake Trim (VS-216)</v>
      </c>
    </row>
    <row r="370" spans="3:18" x14ac:dyDescent="0.25">
      <c r="P370" s="133" t="s">
        <v>308</v>
      </c>
      <c r="Q370" s="213" t="s">
        <v>311</v>
      </c>
      <c r="R370" s="218" t="str">
        <f t="shared" si="4"/>
        <v>FL-335 R  Northern Shadow Rake Trim Mitered Rt (VS-216)</v>
      </c>
    </row>
    <row r="371" spans="3:18" x14ac:dyDescent="0.25">
      <c r="C371" t="s">
        <v>186</v>
      </c>
      <c r="D371" s="219" t="s">
        <v>187</v>
      </c>
      <c r="E371" t="s">
        <v>188</v>
      </c>
      <c r="F371" t="s">
        <v>189</v>
      </c>
      <c r="G371" t="s">
        <v>190</v>
      </c>
      <c r="I371" t="s">
        <v>180</v>
      </c>
      <c r="P371" s="133" t="s">
        <v>309</v>
      </c>
      <c r="Q371" s="213" t="s">
        <v>312</v>
      </c>
      <c r="R371" s="218" t="str">
        <f t="shared" si="4"/>
        <v>FL-335 L  Northern Shadow Rake Trim Mitered Lt (VS-216)</v>
      </c>
    </row>
    <row r="372" spans="3:18" x14ac:dyDescent="0.25">
      <c r="C372" t="s">
        <v>159</v>
      </c>
      <c r="D372" s="219" t="s">
        <v>685</v>
      </c>
      <c r="E372" t="s">
        <v>193</v>
      </c>
      <c r="F372" s="219" t="s">
        <v>389</v>
      </c>
      <c r="G372" s="219" t="s">
        <v>161</v>
      </c>
      <c r="I372" t="s">
        <v>194</v>
      </c>
      <c r="P372" s="133" t="s">
        <v>313</v>
      </c>
      <c r="Q372" s="213" t="s">
        <v>314</v>
      </c>
      <c r="R372" s="218" t="str">
        <f t="shared" si="4"/>
        <v>FL-336A  Northern Shadow Expansion Peak Box (VS-216)</v>
      </c>
    </row>
    <row r="373" spans="3:18" x14ac:dyDescent="0.25">
      <c r="C373" t="s">
        <v>162</v>
      </c>
      <c r="D373" s="219" t="s">
        <v>176</v>
      </c>
      <c r="E373" t="s">
        <v>193</v>
      </c>
      <c r="F373" s="219" t="s">
        <v>389</v>
      </c>
      <c r="G373" s="219" t="s">
        <v>198</v>
      </c>
      <c r="I373" t="s">
        <v>193</v>
      </c>
      <c r="P373" s="133" t="s">
        <v>315</v>
      </c>
      <c r="Q373" s="213" t="s">
        <v>314</v>
      </c>
      <c r="R373" s="218" t="str">
        <f t="shared" si="4"/>
        <v>FL-336B  Northern Shadow Expansion Peak Box (VS-216)</v>
      </c>
    </row>
    <row r="374" spans="3:18" x14ac:dyDescent="0.25">
      <c r="C374" t="s">
        <v>163</v>
      </c>
      <c r="D374" s="219" t="s">
        <v>176</v>
      </c>
      <c r="E374" t="s">
        <v>193</v>
      </c>
      <c r="F374" s="219" t="s">
        <v>389</v>
      </c>
      <c r="G374" s="219" t="s">
        <v>225</v>
      </c>
      <c r="I374" t="s">
        <v>195</v>
      </c>
      <c r="P374" s="133" t="s">
        <v>316</v>
      </c>
      <c r="Q374" s="213" t="s">
        <v>314</v>
      </c>
      <c r="R374" s="218" t="str">
        <f t="shared" si="4"/>
        <v>FL-336C  Northern Shadow Expansion Peak Box (VS-216)</v>
      </c>
    </row>
    <row r="375" spans="3:18" x14ac:dyDescent="0.25">
      <c r="C375" t="s">
        <v>1103</v>
      </c>
      <c r="D375" s="219" t="s">
        <v>1104</v>
      </c>
      <c r="E375" t="s">
        <v>954</v>
      </c>
      <c r="F375" s="219" t="s">
        <v>389</v>
      </c>
      <c r="G375" s="219"/>
      <c r="I375" t="s">
        <v>229</v>
      </c>
      <c r="P375" s="133" t="s">
        <v>317</v>
      </c>
      <c r="Q375" s="213" t="s">
        <v>318</v>
      </c>
      <c r="R375" s="218" t="str">
        <f t="shared" si="4"/>
        <v>FL-340  Northern Shadow 10" Rake Trim (TS-324)</v>
      </c>
    </row>
    <row r="376" spans="3:18" x14ac:dyDescent="0.25">
      <c r="C376" t="s">
        <v>1105</v>
      </c>
      <c r="D376" s="219" t="s">
        <v>1104</v>
      </c>
      <c r="E376" t="s">
        <v>955</v>
      </c>
      <c r="F376" s="219" t="s">
        <v>389</v>
      </c>
      <c r="G376" s="219"/>
      <c r="I376" t="s">
        <v>232</v>
      </c>
      <c r="P376" s="133" t="s">
        <v>319</v>
      </c>
      <c r="Q376" s="213" t="s">
        <v>320</v>
      </c>
      <c r="R376" s="218" t="str">
        <f t="shared" si="4"/>
        <v>FL-343  Northern Shadow 10" Rake End Cap (SSR Roof)</v>
      </c>
    </row>
    <row r="377" spans="3:18" x14ac:dyDescent="0.25">
      <c r="C377" t="s">
        <v>1106</v>
      </c>
      <c r="D377" s="219" t="s">
        <v>1104</v>
      </c>
      <c r="E377" t="s">
        <v>956</v>
      </c>
      <c r="F377" s="219" t="s">
        <v>389</v>
      </c>
      <c r="G377" s="219"/>
      <c r="I377" t="s">
        <v>373</v>
      </c>
      <c r="J377" s="39"/>
      <c r="P377" s="133" t="s">
        <v>199</v>
      </c>
      <c r="Q377" s="213" t="s">
        <v>200</v>
      </c>
      <c r="R377" s="218" t="str">
        <f t="shared" si="4"/>
        <v>FL-344A  Northern Shadow 10" Peak Box (TS-324)</v>
      </c>
    </row>
    <row r="378" spans="3:18" x14ac:dyDescent="0.25">
      <c r="C378" t="s">
        <v>164</v>
      </c>
      <c r="D378" s="219" t="s">
        <v>230</v>
      </c>
      <c r="E378" t="s">
        <v>229</v>
      </c>
      <c r="F378" s="219" t="s">
        <v>389</v>
      </c>
      <c r="G378" s="219"/>
      <c r="I378" t="s">
        <v>374</v>
      </c>
      <c r="P378" s="133" t="s">
        <v>201</v>
      </c>
      <c r="Q378" s="213" t="s">
        <v>200</v>
      </c>
      <c r="R378" s="218" t="str">
        <f t="shared" si="4"/>
        <v>FL-344B  Northern Shadow 10" Peak Box (TS-324)</v>
      </c>
    </row>
    <row r="379" spans="3:18" x14ac:dyDescent="0.25">
      <c r="C379" t="s">
        <v>165</v>
      </c>
      <c r="D379" s="219" t="s">
        <v>231</v>
      </c>
      <c r="E379" t="s">
        <v>232</v>
      </c>
      <c r="F379" s="219" t="s">
        <v>389</v>
      </c>
      <c r="G379" s="219"/>
      <c r="I379" t="s">
        <v>375</v>
      </c>
      <c r="P379" s="133" t="s">
        <v>202</v>
      </c>
      <c r="Q379" s="213" t="s">
        <v>203</v>
      </c>
      <c r="R379" s="218" t="str">
        <f t="shared" si="4"/>
        <v>FL-345  Northern Shadow 10" Rake Trim (VS-216)</v>
      </c>
    </row>
    <row r="380" spans="3:18" x14ac:dyDescent="0.25">
      <c r="C380" t="s">
        <v>166</v>
      </c>
      <c r="D380" s="219" t="s">
        <v>177</v>
      </c>
      <c r="E380" t="s">
        <v>419</v>
      </c>
      <c r="F380" s="219" t="s">
        <v>389</v>
      </c>
      <c r="G380" s="219"/>
      <c r="I380" t="s">
        <v>376</v>
      </c>
      <c r="P380" s="133" t="s">
        <v>204</v>
      </c>
      <c r="Q380" s="213" t="s">
        <v>205</v>
      </c>
      <c r="R380" s="218" t="str">
        <f t="shared" si="4"/>
        <v>FL-348A  Northern Shadow 10" Peak Box (VS-216)</v>
      </c>
    </row>
    <row r="381" spans="3:18" x14ac:dyDescent="0.25">
      <c r="C381" t="s">
        <v>167</v>
      </c>
      <c r="D381" s="219" t="s">
        <v>178</v>
      </c>
      <c r="E381" t="s">
        <v>195</v>
      </c>
      <c r="F381" s="219" t="s">
        <v>389</v>
      </c>
      <c r="G381" s="219"/>
      <c r="I381" t="s">
        <v>377</v>
      </c>
      <c r="P381" s="133" t="s">
        <v>206</v>
      </c>
      <c r="Q381" s="213" t="s">
        <v>205</v>
      </c>
      <c r="R381" s="218" t="str">
        <f t="shared" si="4"/>
        <v>FL-348B  Northern Shadow 10" Peak Box (VS-216)</v>
      </c>
    </row>
    <row r="382" spans="3:18" x14ac:dyDescent="0.25">
      <c r="C382" t="s">
        <v>1710</v>
      </c>
      <c r="D382" s="219" t="s">
        <v>51</v>
      </c>
      <c r="E382" t="s">
        <v>52</v>
      </c>
      <c r="F382" s="219" t="s">
        <v>390</v>
      </c>
      <c r="I382" t="s">
        <v>378</v>
      </c>
      <c r="P382" s="133" t="s">
        <v>207</v>
      </c>
      <c r="Q382" s="213" t="s">
        <v>208</v>
      </c>
      <c r="R382" s="218" t="str">
        <f t="shared" si="4"/>
        <v>FL-350  Canopy Eave Trim w/o Soffit Panel</v>
      </c>
    </row>
    <row r="383" spans="3:18" x14ac:dyDescent="0.25">
      <c r="C383" t="s">
        <v>168</v>
      </c>
      <c r="D383" s="219" t="s">
        <v>160</v>
      </c>
      <c r="E383" t="s">
        <v>193</v>
      </c>
      <c r="F383" s="219" t="s">
        <v>389</v>
      </c>
      <c r="G383" s="219" t="s">
        <v>161</v>
      </c>
      <c r="I383" t="s">
        <v>379</v>
      </c>
      <c r="P383" s="133" t="s">
        <v>209</v>
      </c>
      <c r="Q383" s="213" t="s">
        <v>210</v>
      </c>
      <c r="R383" s="218" t="str">
        <f t="shared" si="4"/>
        <v>FL-351  Canopy Eave Trim w/ PBR Soffit Panel</v>
      </c>
    </row>
    <row r="384" spans="3:18" x14ac:dyDescent="0.25">
      <c r="C384" t="s">
        <v>462</v>
      </c>
      <c r="D384" s="219" t="s">
        <v>179</v>
      </c>
      <c r="E384" t="s">
        <v>194</v>
      </c>
      <c r="F384" s="219" t="s">
        <v>389</v>
      </c>
      <c r="G384" s="219"/>
      <c r="I384" s="39" t="s">
        <v>380</v>
      </c>
      <c r="P384" s="133" t="s">
        <v>211</v>
      </c>
      <c r="Q384" s="213" t="s">
        <v>212</v>
      </c>
      <c r="R384" s="218" t="str">
        <f t="shared" si="4"/>
        <v>FL-352  Canopy Eave Trim w/ PBU Soffit Panel</v>
      </c>
    </row>
    <row r="385" spans="3:18" x14ac:dyDescent="0.25">
      <c r="C385" t="s">
        <v>801</v>
      </c>
      <c r="D385" s="219" t="s">
        <v>160</v>
      </c>
      <c r="E385" t="s">
        <v>802</v>
      </c>
      <c r="F385" s="219" t="s">
        <v>389</v>
      </c>
      <c r="G385" s="219" t="s">
        <v>161</v>
      </c>
      <c r="I385" t="s">
        <v>381</v>
      </c>
      <c r="P385" s="133" t="s">
        <v>1120</v>
      </c>
      <c r="Q385" s="213" t="s">
        <v>1121</v>
      </c>
      <c r="R385" s="218" t="str">
        <f>$P385 &amp; "  " &amp; $Q385</f>
        <v>FL-800  Corner Trim (RW9 Panel)</v>
      </c>
    </row>
    <row r="386" spans="3:18" x14ac:dyDescent="0.25">
      <c r="C386" t="s">
        <v>803</v>
      </c>
      <c r="D386" s="219" t="s">
        <v>160</v>
      </c>
      <c r="E386" t="s">
        <v>804</v>
      </c>
      <c r="F386" s="219" t="s">
        <v>389</v>
      </c>
      <c r="G386" s="219" t="s">
        <v>161</v>
      </c>
      <c r="I386" t="s">
        <v>197</v>
      </c>
      <c r="P386" s="133" t="s">
        <v>1122</v>
      </c>
      <c r="Q386" s="213" t="s">
        <v>1123</v>
      </c>
      <c r="R386" s="218" t="str">
        <f t="shared" ref="R386:R391" si="5">$P386 &amp; "  " &amp; $Q386</f>
        <v>FL-803  Inside Corner Trim (RW9 Panel)</v>
      </c>
    </row>
    <row r="387" spans="3:18" x14ac:dyDescent="0.25">
      <c r="C387" t="s">
        <v>169</v>
      </c>
      <c r="D387" s="219" t="s">
        <v>181</v>
      </c>
      <c r="E387" t="s">
        <v>378</v>
      </c>
      <c r="F387" s="219" t="s">
        <v>389</v>
      </c>
      <c r="G387" s="219" t="s">
        <v>226</v>
      </c>
      <c r="I387" t="s">
        <v>394</v>
      </c>
      <c r="P387" s="133" t="s">
        <v>1124</v>
      </c>
      <c r="Q387" s="213" t="s">
        <v>1125</v>
      </c>
      <c r="R387" s="218" t="str">
        <f t="shared" si="5"/>
        <v>FL-805  Head Trim (RW9 Panel)</v>
      </c>
    </row>
    <row r="388" spans="3:18" x14ac:dyDescent="0.25">
      <c r="C388" t="s">
        <v>170</v>
      </c>
      <c r="D388" s="219" t="s">
        <v>182</v>
      </c>
      <c r="E388" t="s">
        <v>378</v>
      </c>
      <c r="F388" s="219" t="s">
        <v>389</v>
      </c>
      <c r="G388" s="219" t="s">
        <v>228</v>
      </c>
      <c r="I388" t="s">
        <v>395</v>
      </c>
      <c r="P388" s="133" t="s">
        <v>1126</v>
      </c>
      <c r="Q388" s="213" t="s">
        <v>1127</v>
      </c>
      <c r="R388" s="218" t="str">
        <f t="shared" si="5"/>
        <v>FL-810  Jamb Trim (RW9 Panel)</v>
      </c>
    </row>
    <row r="389" spans="3:18" x14ac:dyDescent="0.25">
      <c r="C389" t="s">
        <v>171</v>
      </c>
      <c r="D389" s="219" t="s">
        <v>183</v>
      </c>
      <c r="E389" t="s">
        <v>378</v>
      </c>
      <c r="F389" s="219" t="s">
        <v>389</v>
      </c>
      <c r="G389" s="219" t="s">
        <v>227</v>
      </c>
      <c r="I389" t="s">
        <v>196</v>
      </c>
      <c r="P389" s="133" t="s">
        <v>1128</v>
      </c>
      <c r="Q389" s="213" t="s">
        <v>1127</v>
      </c>
      <c r="R389" s="218" t="str">
        <f t="shared" si="5"/>
        <v>FL-811  Jamb Trim (RW9 Panel)</v>
      </c>
    </row>
    <row r="390" spans="3:18" x14ac:dyDescent="0.25">
      <c r="C390" t="s">
        <v>172</v>
      </c>
      <c r="D390" s="219" t="s">
        <v>184</v>
      </c>
      <c r="E390" t="s">
        <v>394</v>
      </c>
      <c r="F390" s="219" t="s">
        <v>389</v>
      </c>
      <c r="G390" s="219" t="s">
        <v>226</v>
      </c>
      <c r="I390" t="s">
        <v>396</v>
      </c>
      <c r="P390" s="133" t="s">
        <v>1129</v>
      </c>
      <c r="Q390" s="213" t="s">
        <v>1130</v>
      </c>
      <c r="R390" s="218" t="str">
        <f t="shared" si="5"/>
        <v>FL-815  Support Trim (RW9 Panel)</v>
      </c>
    </row>
    <row r="391" spans="3:18" x14ac:dyDescent="0.25">
      <c r="C391" t="s">
        <v>173</v>
      </c>
      <c r="D391" s="219" t="s">
        <v>185</v>
      </c>
      <c r="E391" t="s">
        <v>396</v>
      </c>
      <c r="F391" s="219" t="s">
        <v>389</v>
      </c>
      <c r="G391" s="219" t="s">
        <v>226</v>
      </c>
      <c r="I391" t="s">
        <v>397</v>
      </c>
      <c r="P391" s="133" t="s">
        <v>1131</v>
      </c>
      <c r="Q391" s="213" t="s">
        <v>1132</v>
      </c>
      <c r="R391" s="218" t="str">
        <f t="shared" si="5"/>
        <v>FL-820  Corner Trim - Open Wall (RW9 Panel)</v>
      </c>
    </row>
    <row r="392" spans="3:18" x14ac:dyDescent="0.25">
      <c r="C392" t="s">
        <v>174</v>
      </c>
      <c r="D392" s="219" t="s">
        <v>192</v>
      </c>
      <c r="E392" t="s">
        <v>394</v>
      </c>
      <c r="F392" s="219" t="s">
        <v>389</v>
      </c>
      <c r="G392" s="219" t="s">
        <v>226</v>
      </c>
      <c r="P392" s="133"/>
      <c r="Q392" s="213"/>
      <c r="R392" s="218"/>
    </row>
    <row r="393" spans="3:18" x14ac:dyDescent="0.25">
      <c r="C393" t="s">
        <v>175</v>
      </c>
      <c r="D393" s="219" t="s">
        <v>191</v>
      </c>
      <c r="E393" t="s">
        <v>396</v>
      </c>
      <c r="F393" s="219" t="s">
        <v>389</v>
      </c>
      <c r="G393" s="219" t="s">
        <v>226</v>
      </c>
      <c r="P393" s="133"/>
      <c r="Q393" s="213"/>
      <c r="R393" s="218"/>
    </row>
    <row r="394" spans="3:18" x14ac:dyDescent="0.25">
      <c r="P394" s="133"/>
      <c r="Q394" s="213"/>
      <c r="R394" s="218"/>
    </row>
    <row r="395" spans="3:18" x14ac:dyDescent="0.25">
      <c r="P395" s="39"/>
      <c r="Q395" s="217"/>
      <c r="R395" s="218" t="str">
        <f t="shared" si="4"/>
        <v xml:space="preserve">  </v>
      </c>
    </row>
    <row r="396" spans="3:18" x14ac:dyDescent="0.25">
      <c r="P396" s="39"/>
      <c r="Q396" s="217"/>
      <c r="R396" s="218" t="str">
        <f t="shared" si="4"/>
        <v xml:space="preserve">  </v>
      </c>
    </row>
    <row r="397" spans="3:18" x14ac:dyDescent="0.25">
      <c r="P397" s="133"/>
      <c r="Q397" s="213"/>
      <c r="R397" s="218" t="str">
        <f t="shared" si="4"/>
        <v xml:space="preserve">  </v>
      </c>
    </row>
    <row r="398" spans="3:18" x14ac:dyDescent="0.25">
      <c r="P398" s="133"/>
      <c r="Q398" s="213"/>
      <c r="R398" s="218" t="str">
        <f t="shared" si="4"/>
        <v xml:space="preserve">  </v>
      </c>
    </row>
    <row r="399" spans="3:18" x14ac:dyDescent="0.25">
      <c r="P399" s="39"/>
      <c r="Q399" s="217"/>
      <c r="R399" s="218" t="str">
        <f t="shared" si="4"/>
        <v xml:space="preserve">  </v>
      </c>
    </row>
    <row r="400" spans="3:18" x14ac:dyDescent="0.25">
      <c r="J400" t="s">
        <v>1322</v>
      </c>
      <c r="L400" t="s">
        <v>1290</v>
      </c>
      <c r="P400" s="39"/>
      <c r="Q400" s="217"/>
      <c r="R400" s="218" t="str">
        <f t="shared" si="4"/>
        <v xml:space="preserve">  </v>
      </c>
    </row>
    <row r="401" spans="10:18" x14ac:dyDescent="0.25">
      <c r="J401" t="s">
        <v>1472</v>
      </c>
      <c r="L401" t="s">
        <v>1473</v>
      </c>
      <c r="P401" s="39"/>
      <c r="Q401" s="39"/>
      <c r="R401" s="218" t="str">
        <f t="shared" si="4"/>
        <v xml:space="preserve">  </v>
      </c>
    </row>
    <row r="402" spans="10:18" x14ac:dyDescent="0.25">
      <c r="J402" t="s">
        <v>1323</v>
      </c>
      <c r="L402" t="s">
        <v>1291</v>
      </c>
      <c r="P402" s="39"/>
      <c r="Q402" s="39"/>
      <c r="R402" s="218" t="str">
        <f t="shared" si="4"/>
        <v xml:space="preserve">  </v>
      </c>
    </row>
    <row r="403" spans="10:18" x14ac:dyDescent="0.25">
      <c r="J403" t="s">
        <v>1336</v>
      </c>
      <c r="L403" t="s">
        <v>1292</v>
      </c>
      <c r="P403" s="39"/>
      <c r="Q403" s="39"/>
      <c r="R403" s="218" t="str">
        <f t="shared" si="4"/>
        <v xml:space="preserve">  </v>
      </c>
    </row>
    <row r="404" spans="10:18" x14ac:dyDescent="0.25">
      <c r="J404" t="s">
        <v>1479</v>
      </c>
      <c r="L404" t="s">
        <v>1480</v>
      </c>
      <c r="P404" s="39"/>
      <c r="Q404" s="39"/>
      <c r="R404" s="218"/>
    </row>
    <row r="405" spans="10:18" x14ac:dyDescent="0.25">
      <c r="J405" t="s">
        <v>1337</v>
      </c>
      <c r="L405" t="s">
        <v>1293</v>
      </c>
      <c r="P405" s="39"/>
      <c r="Q405" s="39"/>
      <c r="R405" s="218"/>
    </row>
    <row r="406" spans="10:18" x14ac:dyDescent="0.25">
      <c r="J406" t="s">
        <v>1338</v>
      </c>
      <c r="L406" t="s">
        <v>1294</v>
      </c>
      <c r="P406" s="39"/>
      <c r="Q406" s="39"/>
      <c r="R406" s="218"/>
    </row>
    <row r="407" spans="10:18" x14ac:dyDescent="0.25">
      <c r="J407" t="s">
        <v>1478</v>
      </c>
      <c r="L407" t="s">
        <v>1481</v>
      </c>
      <c r="P407" s="39"/>
      <c r="Q407" s="39"/>
      <c r="R407" s="218"/>
    </row>
    <row r="408" spans="10:18" x14ac:dyDescent="0.25">
      <c r="J408" t="s">
        <v>1339</v>
      </c>
      <c r="L408" t="s">
        <v>1295</v>
      </c>
      <c r="P408" s="39"/>
      <c r="Q408" s="39"/>
      <c r="R408" s="218"/>
    </row>
    <row r="409" spans="10:18" x14ac:dyDescent="0.25">
      <c r="J409" t="s">
        <v>1474</v>
      </c>
      <c r="L409" t="s">
        <v>1475</v>
      </c>
      <c r="P409" s="39"/>
      <c r="Q409" s="39"/>
      <c r="R409" s="218"/>
    </row>
    <row r="410" spans="10:18" x14ac:dyDescent="0.25">
      <c r="J410" t="s">
        <v>1340</v>
      </c>
      <c r="L410" t="s">
        <v>1296</v>
      </c>
      <c r="P410" s="39"/>
      <c r="Q410" s="39"/>
      <c r="R410" s="218"/>
    </row>
    <row r="411" spans="10:18" x14ac:dyDescent="0.25">
      <c r="J411" t="s">
        <v>1341</v>
      </c>
      <c r="L411" t="s">
        <v>1300</v>
      </c>
      <c r="P411" s="39"/>
      <c r="Q411" s="39"/>
      <c r="R411" s="218"/>
    </row>
    <row r="412" spans="10:18" x14ac:dyDescent="0.25">
      <c r="J412" t="s">
        <v>1342</v>
      </c>
      <c r="L412" t="s">
        <v>1301</v>
      </c>
      <c r="P412" s="39"/>
      <c r="Q412" s="39"/>
      <c r="R412" s="218"/>
    </row>
    <row r="413" spans="10:18" x14ac:dyDescent="0.25">
      <c r="J413" t="s">
        <v>1343</v>
      </c>
      <c r="L413" t="s">
        <v>1302</v>
      </c>
      <c r="P413" s="39"/>
      <c r="Q413" s="39"/>
      <c r="R413" s="218"/>
    </row>
    <row r="414" spans="10:18" x14ac:dyDescent="0.25">
      <c r="J414" t="s">
        <v>1344</v>
      </c>
      <c r="L414" t="s">
        <v>1303</v>
      </c>
      <c r="P414" s="39"/>
      <c r="Q414" s="39"/>
      <c r="R414" s="218"/>
    </row>
    <row r="415" spans="10:18" x14ac:dyDescent="0.25">
      <c r="J415" t="s">
        <v>1304</v>
      </c>
      <c r="L415" t="s">
        <v>1304</v>
      </c>
      <c r="P415" s="39"/>
      <c r="Q415" s="39"/>
      <c r="R415" s="218"/>
    </row>
    <row r="416" spans="10:18" x14ac:dyDescent="0.25">
      <c r="J416" t="s">
        <v>1305</v>
      </c>
      <c r="L416" t="s">
        <v>1305</v>
      </c>
      <c r="P416" s="39"/>
      <c r="Q416" s="39"/>
      <c r="R416" s="218"/>
    </row>
    <row r="417" spans="12:18" x14ac:dyDescent="0.25">
      <c r="P417" s="39"/>
      <c r="Q417" s="39"/>
      <c r="R417" s="218"/>
    </row>
    <row r="418" spans="12:18" x14ac:dyDescent="0.25">
      <c r="P418" s="39"/>
      <c r="Q418" s="39"/>
      <c r="R418" s="218"/>
    </row>
    <row r="419" spans="12:18" x14ac:dyDescent="0.25">
      <c r="P419" s="39"/>
      <c r="Q419" s="39"/>
      <c r="R419" s="218"/>
    </row>
    <row r="420" spans="12:18" x14ac:dyDescent="0.25">
      <c r="P420" s="39"/>
      <c r="Q420" s="39"/>
      <c r="R420" s="218"/>
    </row>
    <row r="421" spans="12:18" x14ac:dyDescent="0.25">
      <c r="P421" s="39"/>
      <c r="Q421" s="39"/>
      <c r="R421" s="218"/>
    </row>
    <row r="422" spans="12:18" x14ac:dyDescent="0.25">
      <c r="L422" t="s">
        <v>1306</v>
      </c>
      <c r="P422" s="39"/>
      <c r="Q422" s="39"/>
      <c r="R422" s="218"/>
    </row>
    <row r="423" spans="12:18" x14ac:dyDescent="0.25">
      <c r="L423" t="s">
        <v>1307</v>
      </c>
      <c r="P423" s="39"/>
      <c r="Q423" s="39"/>
      <c r="R423" s="218"/>
    </row>
    <row r="424" spans="12:18" x14ac:dyDescent="0.25">
      <c r="L424" t="s">
        <v>1313</v>
      </c>
      <c r="P424" s="39"/>
      <c r="Q424" s="39"/>
      <c r="R424" s="218"/>
    </row>
    <row r="425" spans="12:18" x14ac:dyDescent="0.25">
      <c r="L425" t="s">
        <v>1308</v>
      </c>
      <c r="P425" s="39"/>
      <c r="Q425" s="39"/>
      <c r="R425" s="218"/>
    </row>
    <row r="426" spans="12:18" x14ac:dyDescent="0.25">
      <c r="L426" t="s">
        <v>1314</v>
      </c>
      <c r="P426" s="39"/>
      <c r="Q426" s="39"/>
      <c r="R426" s="218"/>
    </row>
    <row r="427" spans="12:18" x14ac:dyDescent="0.25">
      <c r="L427" t="s">
        <v>1309</v>
      </c>
      <c r="P427" s="39"/>
      <c r="Q427" s="39"/>
      <c r="R427" s="218"/>
    </row>
    <row r="428" spans="12:18" x14ac:dyDescent="0.25">
      <c r="L428" t="s">
        <v>1315</v>
      </c>
      <c r="P428" s="39"/>
      <c r="Q428" s="39"/>
      <c r="R428" s="218"/>
    </row>
    <row r="429" spans="12:18" x14ac:dyDescent="0.25">
      <c r="L429" t="s">
        <v>1310</v>
      </c>
      <c r="P429" s="39"/>
      <c r="Q429" s="39"/>
      <c r="R429" s="218"/>
    </row>
    <row r="430" spans="12:18" x14ac:dyDescent="0.25">
      <c r="L430" t="s">
        <v>1316</v>
      </c>
      <c r="P430" s="39"/>
      <c r="Q430" s="39"/>
      <c r="R430" s="218"/>
    </row>
    <row r="431" spans="12:18" x14ac:dyDescent="0.25">
      <c r="L431" t="s">
        <v>1311</v>
      </c>
      <c r="P431" s="39"/>
      <c r="Q431" s="39"/>
      <c r="R431" s="218"/>
    </row>
    <row r="432" spans="12:18" x14ac:dyDescent="0.25">
      <c r="L432" t="s">
        <v>1312</v>
      </c>
      <c r="P432" s="39"/>
      <c r="Q432" s="39"/>
      <c r="R432" s="218"/>
    </row>
    <row r="433" spans="16:18" x14ac:dyDescent="0.25">
      <c r="P433" s="39"/>
      <c r="R433" s="218"/>
    </row>
    <row r="434" spans="16:18" x14ac:dyDescent="0.25">
      <c r="P434" s="39"/>
      <c r="R434" s="218"/>
    </row>
    <row r="435" spans="16:18" x14ac:dyDescent="0.25">
      <c r="P435" s="39"/>
      <c r="R435" s="218"/>
    </row>
    <row r="436" spans="16:18" x14ac:dyDescent="0.25">
      <c r="P436" s="39"/>
      <c r="R436" s="218"/>
    </row>
    <row r="437" spans="16:18" x14ac:dyDescent="0.25">
      <c r="P437" s="39"/>
      <c r="R437" s="218"/>
    </row>
    <row r="438" spans="16:18" x14ac:dyDescent="0.25">
      <c r="P438" s="39"/>
    </row>
    <row r="439" spans="16:18" x14ac:dyDescent="0.25">
      <c r="P439" s="39"/>
    </row>
    <row r="440" spans="16:18" x14ac:dyDescent="0.25">
      <c r="P440" s="39"/>
    </row>
    <row r="441" spans="16:18" x14ac:dyDescent="0.25">
      <c r="P441" s="39"/>
    </row>
    <row r="442" spans="16:18" x14ac:dyDescent="0.25">
      <c r="P442" s="39"/>
    </row>
    <row r="443" spans="16:18" x14ac:dyDescent="0.25">
      <c r="P443" s="39"/>
    </row>
    <row r="444" spans="16:18" x14ac:dyDescent="0.25">
      <c r="P444" s="39"/>
    </row>
    <row r="445" spans="16:18" x14ac:dyDescent="0.25">
      <c r="P445" s="39"/>
    </row>
    <row r="446" spans="16:18" x14ac:dyDescent="0.25">
      <c r="P446" s="39"/>
    </row>
    <row r="447" spans="16:18" x14ac:dyDescent="0.25">
      <c r="P447" s="39"/>
    </row>
    <row r="448" spans="16:18" x14ac:dyDescent="0.25">
      <c r="P448" s="39"/>
    </row>
    <row r="449" spans="16:16" x14ac:dyDescent="0.25">
      <c r="P449" s="39"/>
    </row>
    <row r="450" spans="16:16" x14ac:dyDescent="0.25">
      <c r="P450" s="39"/>
    </row>
    <row r="451" spans="16:16" x14ac:dyDescent="0.25">
      <c r="P451" s="39"/>
    </row>
    <row r="452" spans="16:16" x14ac:dyDescent="0.25">
      <c r="P452" s="39"/>
    </row>
    <row r="453" spans="16:16" x14ac:dyDescent="0.25">
      <c r="P453" s="39"/>
    </row>
    <row r="454" spans="16:16" x14ac:dyDescent="0.25">
      <c r="P454" s="39"/>
    </row>
    <row r="455" spans="16:16" x14ac:dyDescent="0.25">
      <c r="P455" s="39"/>
    </row>
    <row r="456" spans="16:16" x14ac:dyDescent="0.25">
      <c r="P456" s="39"/>
    </row>
    <row r="516" spans="16:16" x14ac:dyDescent="0.25">
      <c r="P516" t="s">
        <v>1279</v>
      </c>
    </row>
    <row r="517" spans="16:16" x14ac:dyDescent="0.25">
      <c r="P517" t="s">
        <v>1476</v>
      </c>
    </row>
    <row r="518" spans="16:16" x14ac:dyDescent="0.25">
      <c r="P518" t="s">
        <v>1280</v>
      </c>
    </row>
    <row r="519" spans="16:16" x14ac:dyDescent="0.25">
      <c r="P519" t="s">
        <v>1281</v>
      </c>
    </row>
    <row r="520" spans="16:16" x14ac:dyDescent="0.25">
      <c r="P520" t="s">
        <v>1482</v>
      </c>
    </row>
    <row r="521" spans="16:16" x14ac:dyDescent="0.25">
      <c r="P521" t="s">
        <v>1282</v>
      </c>
    </row>
    <row r="522" spans="16:16" x14ac:dyDescent="0.25">
      <c r="P522" t="s">
        <v>1283</v>
      </c>
    </row>
    <row r="523" spans="16:16" x14ac:dyDescent="0.25">
      <c r="P523" t="s">
        <v>1483</v>
      </c>
    </row>
    <row r="524" spans="16:16" x14ac:dyDescent="0.25">
      <c r="P524" t="s">
        <v>1284</v>
      </c>
    </row>
    <row r="525" spans="16:16" x14ac:dyDescent="0.25">
      <c r="P525" t="s">
        <v>1477</v>
      </c>
    </row>
    <row r="526" spans="16:16" x14ac:dyDescent="0.25">
      <c r="P526" t="s">
        <v>1285</v>
      </c>
    </row>
    <row r="527" spans="16:16" x14ac:dyDescent="0.25">
      <c r="P527" t="s">
        <v>1286</v>
      </c>
    </row>
    <row r="528" spans="16:16" x14ac:dyDescent="0.25">
      <c r="P528" t="s">
        <v>1287</v>
      </c>
    </row>
    <row r="529" spans="16:16" x14ac:dyDescent="0.25">
      <c r="P529" t="s">
        <v>1288</v>
      </c>
    </row>
    <row r="530" spans="16:16" x14ac:dyDescent="0.25">
      <c r="P530" t="s">
        <v>1289</v>
      </c>
    </row>
    <row r="531" spans="16:16" x14ac:dyDescent="0.25">
      <c r="P531" t="s">
        <v>1304</v>
      </c>
    </row>
    <row r="532" spans="16:16" x14ac:dyDescent="0.25">
      <c r="P532" t="s">
        <v>1305</v>
      </c>
    </row>
    <row r="538" spans="16:16" x14ac:dyDescent="0.25">
      <c r="P538" t="s">
        <v>1317</v>
      </c>
    </row>
    <row r="539" spans="16:16" x14ac:dyDescent="0.25">
      <c r="P539" t="s">
        <v>1319</v>
      </c>
    </row>
    <row r="540" spans="16:16" x14ac:dyDescent="0.25">
      <c r="P540" t="s">
        <v>1318</v>
      </c>
    </row>
    <row r="541" spans="16:16" x14ac:dyDescent="0.25">
      <c r="P541" t="s">
        <v>1320</v>
      </c>
    </row>
    <row r="542" spans="16:16" x14ac:dyDescent="0.25">
      <c r="P542" t="s">
        <v>1321</v>
      </c>
    </row>
  </sheetData>
  <phoneticPr fontId="0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648-A221-4775-90B6-0B1079181BF6}">
  <sheetPr codeName="Sheet7"/>
  <dimension ref="A11:I11"/>
  <sheetViews>
    <sheetView workbookViewId="0">
      <selection activeCell="C38" sqref="C38"/>
    </sheetView>
  </sheetViews>
  <sheetFormatPr defaultRowHeight="13.2" x14ac:dyDescent="0.25"/>
  <cols>
    <col min="1" max="1" width="8.77734375" customWidth="1"/>
    <col min="2" max="2" width="10.77734375" customWidth="1"/>
    <col min="3" max="3" width="85.77734375" customWidth="1"/>
    <col min="4" max="4" width="17.21875" customWidth="1"/>
    <col min="5" max="5" width="13.21875" customWidth="1"/>
    <col min="6" max="7" width="12.77734375" customWidth="1"/>
    <col min="8" max="8" width="8.77734375" customWidth="1"/>
    <col min="9" max="9" width="10.77734375" customWidth="1"/>
  </cols>
  <sheetData>
    <row r="11" spans="1:9" x14ac:dyDescent="0.25">
      <c r="A11" s="1" t="s">
        <v>718</v>
      </c>
      <c r="B11" s="1" t="s">
        <v>719</v>
      </c>
      <c r="C11" s="1" t="s">
        <v>720</v>
      </c>
      <c r="D11" s="1" t="s">
        <v>721</v>
      </c>
      <c r="E11" s="1" t="s">
        <v>722</v>
      </c>
      <c r="F11" s="1" t="s">
        <v>723</v>
      </c>
      <c r="G11" s="1" t="s">
        <v>724</v>
      </c>
      <c r="H11" s="157" t="s">
        <v>725</v>
      </c>
      <c r="I11" s="1" t="s">
        <v>726</v>
      </c>
    </row>
  </sheetData>
  <phoneticPr fontId="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5445-8866-46AE-B307-9147760CC19C}">
  <sheetPr codeName="Sheet8"/>
  <dimension ref="A1:R39"/>
  <sheetViews>
    <sheetView zoomScaleNormal="100"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176"/>
      <c r="B1" s="177"/>
      <c r="C1" s="177"/>
      <c r="D1" s="177"/>
      <c r="E1" s="177"/>
      <c r="F1" s="178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181"/>
      <c r="B2" s="182"/>
      <c r="C2" s="182"/>
      <c r="D2" s="182"/>
      <c r="E2" s="182"/>
      <c r="F2" s="183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181"/>
      <c r="B3" s="182"/>
      <c r="C3" s="182"/>
      <c r="D3" s="182"/>
      <c r="E3" s="182"/>
      <c r="F3" s="183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181"/>
      <c r="B4" s="182"/>
      <c r="C4" s="182"/>
      <c r="D4" s="182"/>
      <c r="E4" s="182"/>
      <c r="F4" s="183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181"/>
      <c r="B5" s="182"/>
      <c r="C5" s="182"/>
      <c r="D5" s="182"/>
      <c r="E5" s="182"/>
      <c r="F5" s="183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184"/>
      <c r="B6" s="185"/>
      <c r="C6" s="185"/>
      <c r="D6" s="185"/>
      <c r="E6" s="185"/>
      <c r="F6" s="186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91" t="s">
        <v>258</v>
      </c>
      <c r="B7" s="493"/>
      <c r="C7" s="494">
        <f>Cover!$G$28</f>
        <v>0</v>
      </c>
      <c r="D7" s="495"/>
      <c r="E7" s="495"/>
      <c r="F7" s="495"/>
      <c r="G7" s="495"/>
      <c r="H7" s="495"/>
      <c r="I7" s="495"/>
      <c r="J7" s="495"/>
      <c r="K7" s="495"/>
      <c r="L7" s="495"/>
      <c r="M7" s="495"/>
      <c r="N7" s="496"/>
    </row>
    <row r="8" spans="1:16" ht="19.5" customHeight="1" thickBot="1" x14ac:dyDescent="0.3">
      <c r="A8" s="491" t="s">
        <v>352</v>
      </c>
      <c r="B8" s="492"/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2"/>
      <c r="N8" s="493"/>
      <c r="O8" s="37"/>
      <c r="P8" s="37"/>
    </row>
    <row r="9" spans="1:16" ht="22.5" customHeight="1" thickBot="1" x14ac:dyDescent="0.3">
      <c r="A9" s="164" t="s">
        <v>238</v>
      </c>
      <c r="B9" s="164" t="s">
        <v>239</v>
      </c>
      <c r="C9" s="499" t="s">
        <v>240</v>
      </c>
      <c r="D9" s="499"/>
      <c r="E9" s="499"/>
      <c r="F9" s="500"/>
      <c r="G9" s="164" t="s">
        <v>271</v>
      </c>
      <c r="H9" s="499" t="s">
        <v>242</v>
      </c>
      <c r="I9" s="500"/>
      <c r="J9" s="501" t="s">
        <v>241</v>
      </c>
      <c r="K9" s="499"/>
      <c r="L9" s="500"/>
      <c r="M9" s="499" t="s">
        <v>327</v>
      </c>
      <c r="N9" s="500"/>
    </row>
    <row r="10" spans="1:16" ht="13.5" customHeight="1" x14ac:dyDescent="0.25">
      <c r="A10" s="167"/>
      <c r="B10" s="168"/>
      <c r="C10" s="497"/>
      <c r="D10" s="497"/>
      <c r="E10" s="497"/>
      <c r="F10" s="497"/>
      <c r="G10" s="168"/>
      <c r="H10" s="502"/>
      <c r="I10" s="502"/>
      <c r="J10" s="497"/>
      <c r="K10" s="497"/>
      <c r="L10" s="497"/>
      <c r="M10" s="497"/>
      <c r="N10" s="498"/>
    </row>
    <row r="11" spans="1:16" ht="13.5" customHeight="1" x14ac:dyDescent="0.25">
      <c r="A11" s="142" t="str">
        <f>"@Data"</f>
        <v>@Data</v>
      </c>
      <c r="B11" s="143"/>
      <c r="C11" s="405"/>
      <c r="D11" s="405"/>
      <c r="E11" s="405"/>
      <c r="F11" s="405"/>
      <c r="G11" s="143"/>
      <c r="H11" s="406"/>
      <c r="I11" s="406"/>
      <c r="J11" s="503"/>
      <c r="K11" s="504"/>
      <c r="L11" s="505"/>
      <c r="M11" s="405"/>
      <c r="N11" s="407"/>
    </row>
    <row r="12" spans="1:16" ht="13.5" customHeight="1" x14ac:dyDescent="0.25">
      <c r="A12" s="142"/>
      <c r="B12" s="143"/>
      <c r="C12" s="405"/>
      <c r="D12" s="405"/>
      <c r="E12" s="405"/>
      <c r="F12" s="405"/>
      <c r="G12" s="143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143"/>
      <c r="C13" s="405"/>
      <c r="D13" s="405"/>
      <c r="E13" s="405"/>
      <c r="F13" s="405"/>
      <c r="G13" s="143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05"/>
      <c r="D14" s="405"/>
      <c r="E14" s="405"/>
      <c r="F14" s="405"/>
      <c r="G14" s="143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05"/>
      <c r="D15" s="405"/>
      <c r="E15" s="405"/>
      <c r="F15" s="405"/>
      <c r="G15" s="143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05"/>
      <c r="D16" s="405"/>
      <c r="E16" s="405"/>
      <c r="F16" s="405"/>
      <c r="G16" s="143"/>
      <c r="H16" s="406"/>
      <c r="I16" s="406"/>
      <c r="J16" s="405"/>
      <c r="K16" s="405"/>
      <c r="L16" s="405"/>
      <c r="M16" s="405"/>
      <c r="N16" s="407"/>
    </row>
    <row r="17" spans="1:18" ht="13.5" customHeight="1" x14ac:dyDescent="0.25">
      <c r="A17" s="142"/>
      <c r="B17" s="143"/>
      <c r="C17" s="405"/>
      <c r="D17" s="405"/>
      <c r="E17" s="405"/>
      <c r="F17" s="405"/>
      <c r="G17" s="143"/>
      <c r="H17" s="406"/>
      <c r="I17" s="406"/>
      <c r="J17" s="405"/>
      <c r="K17" s="405"/>
      <c r="L17" s="405"/>
      <c r="M17" s="405"/>
      <c r="N17" s="407"/>
    </row>
    <row r="18" spans="1:18" ht="13.5" customHeight="1" x14ac:dyDescent="0.25">
      <c r="A18" s="142"/>
      <c r="B18" s="143"/>
      <c r="C18" s="405"/>
      <c r="D18" s="405"/>
      <c r="E18" s="405"/>
      <c r="F18" s="405"/>
      <c r="G18" s="143"/>
      <c r="H18" s="406"/>
      <c r="I18" s="406"/>
      <c r="J18" s="405"/>
      <c r="K18" s="405"/>
      <c r="L18" s="405"/>
      <c r="M18" s="405"/>
      <c r="N18" s="407"/>
    </row>
    <row r="19" spans="1:18" ht="13.5" customHeight="1" x14ac:dyDescent="0.25">
      <c r="A19" s="142"/>
      <c r="B19" s="143"/>
      <c r="C19" s="405"/>
      <c r="D19" s="405"/>
      <c r="E19" s="405"/>
      <c r="F19" s="405"/>
      <c r="G19" s="143"/>
      <c r="H19" s="406"/>
      <c r="I19" s="406"/>
      <c r="J19" s="405"/>
      <c r="K19" s="405"/>
      <c r="L19" s="405"/>
      <c r="M19" s="405"/>
      <c r="N19" s="407"/>
    </row>
    <row r="20" spans="1:18" ht="13.5" customHeight="1" x14ac:dyDescent="0.25">
      <c r="A20" s="142"/>
      <c r="B20" s="143"/>
      <c r="C20" s="405"/>
      <c r="D20" s="405"/>
      <c r="E20" s="405"/>
      <c r="F20" s="405"/>
      <c r="G20" s="143"/>
      <c r="H20" s="406"/>
      <c r="I20" s="406"/>
      <c r="J20" s="405"/>
      <c r="K20" s="405"/>
      <c r="L20" s="405"/>
      <c r="M20" s="405"/>
      <c r="N20" s="407"/>
    </row>
    <row r="21" spans="1:18" s="2" customFormat="1" ht="13.5" customHeight="1" x14ac:dyDescent="0.25">
      <c r="A21" s="142"/>
      <c r="B21" s="143"/>
      <c r="C21" s="405"/>
      <c r="D21" s="405"/>
      <c r="E21" s="405"/>
      <c r="F21" s="405"/>
      <c r="G21" s="143"/>
      <c r="H21" s="406"/>
      <c r="I21" s="406"/>
      <c r="J21" s="405"/>
      <c r="K21" s="405"/>
      <c r="L21" s="405"/>
      <c r="M21" s="405"/>
      <c r="N21" s="407"/>
    </row>
    <row r="22" spans="1:18" ht="13.5" customHeight="1" x14ac:dyDescent="0.25">
      <c r="A22" s="142"/>
      <c r="B22" s="143"/>
      <c r="C22" s="405"/>
      <c r="D22" s="405"/>
      <c r="E22" s="405"/>
      <c r="F22" s="405"/>
      <c r="G22" s="143"/>
      <c r="H22" s="406"/>
      <c r="I22" s="406"/>
      <c r="J22" s="405"/>
      <c r="K22" s="405"/>
      <c r="L22" s="405"/>
      <c r="M22" s="405"/>
      <c r="N22" s="407"/>
    </row>
    <row r="23" spans="1:18" ht="13.5" customHeight="1" x14ac:dyDescent="0.25">
      <c r="A23" s="142"/>
      <c r="B23" s="143"/>
      <c r="C23" s="405"/>
      <c r="D23" s="405"/>
      <c r="E23" s="405"/>
      <c r="F23" s="405"/>
      <c r="G23" s="143"/>
      <c r="H23" s="406"/>
      <c r="I23" s="406"/>
      <c r="J23" s="405"/>
      <c r="K23" s="405"/>
      <c r="L23" s="405"/>
      <c r="M23" s="405"/>
      <c r="N23" s="407"/>
    </row>
    <row r="24" spans="1:18" ht="13.5" customHeight="1" x14ac:dyDescent="0.25">
      <c r="A24" s="142"/>
      <c r="B24" s="143"/>
      <c r="C24" s="405"/>
      <c r="D24" s="405"/>
      <c r="E24" s="405"/>
      <c r="F24" s="405"/>
      <c r="G24" s="143"/>
      <c r="H24" s="406"/>
      <c r="I24" s="406"/>
      <c r="J24" s="405"/>
      <c r="K24" s="405"/>
      <c r="L24" s="405"/>
      <c r="M24" s="405"/>
      <c r="N24" s="407"/>
    </row>
    <row r="25" spans="1:18" ht="13.5" customHeight="1" x14ac:dyDescent="0.25">
      <c r="A25" s="142"/>
      <c r="B25" s="143"/>
      <c r="C25" s="405"/>
      <c r="D25" s="405"/>
      <c r="E25" s="405"/>
      <c r="F25" s="405"/>
      <c r="G25" s="143"/>
      <c r="H25" s="406"/>
      <c r="I25" s="406"/>
      <c r="J25" s="405"/>
      <c r="K25" s="405"/>
      <c r="L25" s="405"/>
      <c r="M25" s="405"/>
      <c r="N25" s="407"/>
      <c r="R25" s="39" t="s">
        <v>265</v>
      </c>
    </row>
    <row r="26" spans="1:18" ht="13.5" customHeight="1" x14ac:dyDescent="0.25">
      <c r="A26" s="142"/>
      <c r="B26" s="143"/>
      <c r="C26" s="405"/>
      <c r="D26" s="405"/>
      <c r="E26" s="405"/>
      <c r="F26" s="405"/>
      <c r="G26" s="143"/>
      <c r="H26" s="406"/>
      <c r="I26" s="406"/>
      <c r="J26" s="405"/>
      <c r="K26" s="405"/>
      <c r="L26" s="405"/>
      <c r="M26" s="405"/>
      <c r="N26" s="407"/>
    </row>
    <row r="27" spans="1:18" ht="13.5" customHeight="1" x14ac:dyDescent="0.25">
      <c r="A27" s="142"/>
      <c r="B27" s="143"/>
      <c r="C27" s="405"/>
      <c r="D27" s="405"/>
      <c r="E27" s="405"/>
      <c r="F27" s="405"/>
      <c r="G27" s="143"/>
      <c r="H27" s="406"/>
      <c r="I27" s="406"/>
      <c r="J27" s="405"/>
      <c r="K27" s="405"/>
      <c r="L27" s="405"/>
      <c r="M27" s="405"/>
      <c r="N27" s="407"/>
    </row>
    <row r="28" spans="1:18" ht="13.5" customHeight="1" x14ac:dyDescent="0.25">
      <c r="A28" s="142"/>
      <c r="B28" s="143"/>
      <c r="C28" s="405"/>
      <c r="D28" s="405"/>
      <c r="E28" s="405"/>
      <c r="F28" s="405"/>
      <c r="G28" s="143"/>
      <c r="H28" s="406"/>
      <c r="I28" s="406"/>
      <c r="J28" s="405"/>
      <c r="K28" s="405"/>
      <c r="L28" s="405"/>
      <c r="M28" s="405"/>
      <c r="N28" s="407"/>
    </row>
    <row r="29" spans="1:18" ht="13.5" customHeight="1" x14ac:dyDescent="0.25">
      <c r="A29" s="142"/>
      <c r="B29" s="143"/>
      <c r="C29" s="405"/>
      <c r="D29" s="405"/>
      <c r="E29" s="405"/>
      <c r="F29" s="405"/>
      <c r="G29" s="143"/>
      <c r="H29" s="406"/>
      <c r="I29" s="406"/>
      <c r="J29" s="405"/>
      <c r="K29" s="405"/>
      <c r="L29" s="405"/>
      <c r="M29" s="405"/>
      <c r="N29" s="407"/>
    </row>
    <row r="30" spans="1:18" ht="13.5" customHeight="1" x14ac:dyDescent="0.25">
      <c r="A30" s="142"/>
      <c r="B30" s="143"/>
      <c r="C30" s="405"/>
      <c r="D30" s="405"/>
      <c r="E30" s="405"/>
      <c r="F30" s="405"/>
      <c r="G30" s="143"/>
      <c r="H30" s="406"/>
      <c r="I30" s="406"/>
      <c r="J30" s="405"/>
      <c r="K30" s="405"/>
      <c r="L30" s="405"/>
      <c r="M30" s="405"/>
      <c r="N30" s="407"/>
    </row>
    <row r="31" spans="1:18" ht="13.5" customHeight="1" x14ac:dyDescent="0.25">
      <c r="A31" s="142"/>
      <c r="B31" s="143"/>
      <c r="C31" s="405"/>
      <c r="D31" s="405"/>
      <c r="E31" s="405"/>
      <c r="F31" s="405"/>
      <c r="G31" s="143"/>
      <c r="H31" s="406"/>
      <c r="I31" s="406"/>
      <c r="J31" s="405"/>
      <c r="K31" s="405"/>
      <c r="L31" s="405"/>
      <c r="M31" s="405"/>
      <c r="N31" s="407"/>
    </row>
    <row r="32" spans="1:18" ht="13.5" customHeight="1" x14ac:dyDescent="0.25">
      <c r="A32" s="142"/>
      <c r="B32" s="143"/>
      <c r="C32" s="405"/>
      <c r="D32" s="405"/>
      <c r="E32" s="405"/>
      <c r="F32" s="405"/>
      <c r="G32" s="143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05"/>
      <c r="D33" s="405"/>
      <c r="E33" s="405"/>
      <c r="F33" s="405"/>
      <c r="G33" s="143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05"/>
      <c r="D34" s="405"/>
      <c r="E34" s="405"/>
      <c r="F34" s="405"/>
      <c r="G34" s="143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05"/>
      <c r="D35" s="405"/>
      <c r="E35" s="405"/>
      <c r="F35" s="405"/>
      <c r="G35" s="143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142"/>
      <c r="B36" s="143"/>
      <c r="C36" s="405"/>
      <c r="D36" s="405"/>
      <c r="E36" s="405"/>
      <c r="F36" s="405"/>
      <c r="G36" s="143"/>
      <c r="H36" s="406"/>
      <c r="I36" s="4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145"/>
      <c r="C37" s="408"/>
      <c r="D37" s="408"/>
      <c r="E37" s="408"/>
      <c r="F37" s="408"/>
      <c r="G37" s="145"/>
      <c r="H37" s="409"/>
      <c r="I37" s="4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6:F36"/>
    <mergeCell ref="H36:I36"/>
    <mergeCell ref="C35:F35"/>
    <mergeCell ref="H35:I35"/>
    <mergeCell ref="C34:F34"/>
    <mergeCell ref="H34:I34"/>
    <mergeCell ref="K39:L39"/>
    <mergeCell ref="M39:N39"/>
    <mergeCell ref="J36:L36"/>
    <mergeCell ref="M36:N36"/>
    <mergeCell ref="J37:L37"/>
    <mergeCell ref="M37:N37"/>
    <mergeCell ref="C37:F37"/>
    <mergeCell ref="H37:I37"/>
    <mergeCell ref="J29:L29"/>
    <mergeCell ref="M29:N29"/>
    <mergeCell ref="C32:F32"/>
    <mergeCell ref="H32:I32"/>
    <mergeCell ref="C33:F33"/>
    <mergeCell ref="H33:I33"/>
    <mergeCell ref="C31:F31"/>
    <mergeCell ref="H31:I31"/>
    <mergeCell ref="C29:F29"/>
    <mergeCell ref="H29:I29"/>
    <mergeCell ref="C30:F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F27"/>
    <mergeCell ref="H27:I27"/>
    <mergeCell ref="J27:L27"/>
    <mergeCell ref="M27:N27"/>
    <mergeCell ref="C28:F28"/>
    <mergeCell ref="H28:I28"/>
    <mergeCell ref="J28:L28"/>
    <mergeCell ref="M28:N28"/>
    <mergeCell ref="C25:F25"/>
    <mergeCell ref="H25:I25"/>
    <mergeCell ref="J25:L25"/>
    <mergeCell ref="M25:N25"/>
    <mergeCell ref="C26:F26"/>
    <mergeCell ref="H26:I26"/>
    <mergeCell ref="J26:L26"/>
    <mergeCell ref="M26:N26"/>
    <mergeCell ref="C23:F23"/>
    <mergeCell ref="H23:I23"/>
    <mergeCell ref="J23:L23"/>
    <mergeCell ref="M23:N23"/>
    <mergeCell ref="C24:F24"/>
    <mergeCell ref="H24:I24"/>
    <mergeCell ref="J24:L24"/>
    <mergeCell ref="M24:N24"/>
    <mergeCell ref="C21:F21"/>
    <mergeCell ref="H21:I21"/>
    <mergeCell ref="J21:L21"/>
    <mergeCell ref="M21:N21"/>
    <mergeCell ref="C22:F22"/>
    <mergeCell ref="H22:I22"/>
    <mergeCell ref="J22:L22"/>
    <mergeCell ref="M22:N22"/>
    <mergeCell ref="C19:F19"/>
    <mergeCell ref="H19:I19"/>
    <mergeCell ref="J19:L19"/>
    <mergeCell ref="M19:N19"/>
    <mergeCell ref="C20:F20"/>
    <mergeCell ref="H20:I20"/>
    <mergeCell ref="J20:L20"/>
    <mergeCell ref="M20:N20"/>
    <mergeCell ref="C17:F17"/>
    <mergeCell ref="H17:I17"/>
    <mergeCell ref="J17:L17"/>
    <mergeCell ref="M17:N17"/>
    <mergeCell ref="C18:F18"/>
    <mergeCell ref="H18:I18"/>
    <mergeCell ref="J18:L18"/>
    <mergeCell ref="M18:N18"/>
    <mergeCell ref="C15:F15"/>
    <mergeCell ref="H15:I15"/>
    <mergeCell ref="J15:L15"/>
    <mergeCell ref="M15:N15"/>
    <mergeCell ref="C16:F16"/>
    <mergeCell ref="H16:I16"/>
    <mergeCell ref="J16:L16"/>
    <mergeCell ref="M16:N16"/>
    <mergeCell ref="M13:N13"/>
    <mergeCell ref="C14:F14"/>
    <mergeCell ref="H14:I14"/>
    <mergeCell ref="J14:L14"/>
    <mergeCell ref="M14:N14"/>
    <mergeCell ref="C13:F13"/>
    <mergeCell ref="H13:I13"/>
    <mergeCell ref="J13:L13"/>
    <mergeCell ref="C12:F12"/>
    <mergeCell ref="H12:I12"/>
    <mergeCell ref="J12:L12"/>
    <mergeCell ref="M12:N12"/>
    <mergeCell ref="C11:F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F9"/>
    <mergeCell ref="H9:I9"/>
    <mergeCell ref="J9:L9"/>
    <mergeCell ref="C10:F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1">
    <dataValidation type="list" errorStyle="warning" allowBlank="1" showInputMessage="1" showErrorMessage="1" errorTitle="Unlisted" error="You have entered an unlisted item.  Please make sure the item entered is correct." sqref="H11:I37" xr:uid="{1F6BB8F5-884C-4696-8BAD-D517F3FF3F27}">
      <formula1>Coatings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BDEB-87D0-4B12-B7BA-C27F845A8E03}">
  <sheetPr codeName="Sheet9"/>
  <dimension ref="A1:P39"/>
  <sheetViews>
    <sheetView workbookViewId="0"/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91" t="s">
        <v>351</v>
      </c>
      <c r="B8" s="492"/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2"/>
      <c r="N8" s="493"/>
      <c r="O8" s="37"/>
      <c r="P8" s="37"/>
    </row>
    <row r="9" spans="1:16" ht="22.5" customHeight="1" thickBot="1" x14ac:dyDescent="0.3">
      <c r="A9" s="164" t="s">
        <v>238</v>
      </c>
      <c r="B9" s="164" t="s">
        <v>239</v>
      </c>
      <c r="C9" s="501" t="s">
        <v>240</v>
      </c>
      <c r="D9" s="499"/>
      <c r="E9" s="500"/>
      <c r="F9" s="166" t="s">
        <v>272</v>
      </c>
      <c r="G9" s="165" t="s">
        <v>271</v>
      </c>
      <c r="H9" s="501" t="s">
        <v>242</v>
      </c>
      <c r="I9" s="500"/>
      <c r="J9" s="501" t="s">
        <v>241</v>
      </c>
      <c r="K9" s="499"/>
      <c r="L9" s="500"/>
      <c r="M9" s="501" t="s">
        <v>327</v>
      </c>
      <c r="N9" s="500"/>
    </row>
    <row r="10" spans="1:16" ht="13.5" customHeight="1" x14ac:dyDescent="0.25">
      <c r="A10" s="167"/>
      <c r="B10" s="168"/>
      <c r="C10" s="497"/>
      <c r="D10" s="497"/>
      <c r="E10" s="497"/>
      <c r="F10" s="169"/>
      <c r="G10" s="168"/>
      <c r="H10" s="497"/>
      <c r="I10" s="497"/>
      <c r="J10" s="497"/>
      <c r="K10" s="497"/>
      <c r="L10" s="497"/>
      <c r="M10" s="497"/>
      <c r="N10" s="498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406"/>
      <c r="I11" s="406"/>
      <c r="J11" s="405"/>
      <c r="K11" s="405"/>
      <c r="L11" s="405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406"/>
      <c r="I12" s="406"/>
      <c r="J12" s="405"/>
      <c r="K12" s="405"/>
      <c r="L12" s="405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406"/>
      <c r="I13" s="406"/>
      <c r="J13" s="405"/>
      <c r="K13" s="405"/>
      <c r="L13" s="405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406"/>
      <c r="I14" s="406"/>
      <c r="J14" s="405"/>
      <c r="K14" s="405"/>
      <c r="L14" s="405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406"/>
      <c r="I15" s="406"/>
      <c r="J15" s="405"/>
      <c r="K15" s="405"/>
      <c r="L15" s="405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406"/>
      <c r="I16" s="406"/>
      <c r="J16" s="405"/>
      <c r="K16" s="405"/>
      <c r="L16" s="405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406"/>
      <c r="I17" s="406"/>
      <c r="J17" s="405"/>
      <c r="K17" s="405"/>
      <c r="L17" s="405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406"/>
      <c r="I18" s="406"/>
      <c r="J18" s="405"/>
      <c r="K18" s="405"/>
      <c r="L18" s="405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406"/>
      <c r="I19" s="406"/>
      <c r="J19" s="405"/>
      <c r="K19" s="405"/>
      <c r="L19" s="405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406"/>
      <c r="I20" s="406"/>
      <c r="J20" s="405"/>
      <c r="K20" s="405"/>
      <c r="L20" s="405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406"/>
      <c r="I21" s="406"/>
      <c r="J21" s="405"/>
      <c r="K21" s="405"/>
      <c r="L21" s="405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406"/>
      <c r="I22" s="406"/>
      <c r="J22" s="405"/>
      <c r="K22" s="405"/>
      <c r="L22" s="405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406"/>
      <c r="I23" s="406"/>
      <c r="J23" s="405"/>
      <c r="K23" s="405"/>
      <c r="L23" s="405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406"/>
      <c r="I24" s="406"/>
      <c r="J24" s="405"/>
      <c r="K24" s="405"/>
      <c r="L24" s="405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406"/>
      <c r="I25" s="406"/>
      <c r="J25" s="405"/>
      <c r="K25" s="405"/>
      <c r="L25" s="405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406"/>
      <c r="I26" s="406"/>
      <c r="J26" s="405"/>
      <c r="K26" s="405"/>
      <c r="L26" s="405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406"/>
      <c r="I27" s="406"/>
      <c r="J27" s="405"/>
      <c r="K27" s="405"/>
      <c r="L27" s="405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406"/>
      <c r="I28" s="406"/>
      <c r="J28" s="405"/>
      <c r="K28" s="405"/>
      <c r="L28" s="405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406"/>
      <c r="I29" s="406"/>
      <c r="J29" s="405"/>
      <c r="K29" s="405"/>
      <c r="L29" s="405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406"/>
      <c r="I30" s="406"/>
      <c r="J30" s="405"/>
      <c r="K30" s="405"/>
      <c r="L30" s="405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406"/>
      <c r="I31" s="406"/>
      <c r="J31" s="405"/>
      <c r="K31" s="405"/>
      <c r="L31" s="405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406"/>
      <c r="I32" s="406"/>
      <c r="J32" s="405"/>
      <c r="K32" s="405"/>
      <c r="L32" s="405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406"/>
      <c r="I33" s="406"/>
      <c r="J33" s="405"/>
      <c r="K33" s="405"/>
      <c r="L33" s="405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406"/>
      <c r="I34" s="406"/>
      <c r="J34" s="405"/>
      <c r="K34" s="405"/>
      <c r="L34" s="405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406"/>
      <c r="I35" s="406"/>
      <c r="J35" s="405"/>
      <c r="K35" s="405"/>
      <c r="L35" s="405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406"/>
      <c r="I36" s="406"/>
      <c r="J36" s="405"/>
      <c r="K36" s="405"/>
      <c r="L36" s="405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409"/>
      <c r="I37" s="409"/>
      <c r="J37" s="408"/>
      <c r="K37" s="408"/>
      <c r="L37" s="408"/>
      <c r="M37" s="509"/>
      <c r="N37" s="510"/>
    </row>
    <row r="38" spans="1:14" ht="13.5" customHeight="1" x14ac:dyDescent="0.25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</row>
    <row r="39" spans="1:14" ht="13.5" customHeight="1" x14ac:dyDescent="0.25">
      <c r="A39" s="170"/>
      <c r="B39" s="170"/>
      <c r="C39" s="170"/>
      <c r="D39" s="170"/>
      <c r="E39" s="170"/>
      <c r="F39" s="170"/>
      <c r="G39" s="170"/>
      <c r="H39" s="170"/>
      <c r="I39" s="171"/>
      <c r="J39" s="171"/>
      <c r="K39" s="508" t="s">
        <v>263</v>
      </c>
      <c r="L39" s="508"/>
      <c r="M39" s="404">
        <f>SUM(M11:M37)</f>
        <v>0</v>
      </c>
      <c r="N39" s="404"/>
    </row>
  </sheetData>
  <mergeCells count="142">
    <mergeCell ref="J35:L35"/>
    <mergeCell ref="M35:N35"/>
    <mergeCell ref="C36:E36"/>
    <mergeCell ref="H36:I36"/>
    <mergeCell ref="C35:E35"/>
    <mergeCell ref="H35:I35"/>
    <mergeCell ref="C34:E34"/>
    <mergeCell ref="H34:I34"/>
    <mergeCell ref="K39:L39"/>
    <mergeCell ref="M39:N39"/>
    <mergeCell ref="J36:L36"/>
    <mergeCell ref="M36:N36"/>
    <mergeCell ref="J37:L37"/>
    <mergeCell ref="M37:N37"/>
    <mergeCell ref="C37:E37"/>
    <mergeCell ref="H37:I37"/>
    <mergeCell ref="J29:L29"/>
    <mergeCell ref="M29:N29"/>
    <mergeCell ref="C32:E32"/>
    <mergeCell ref="H32:I32"/>
    <mergeCell ref="C33:E33"/>
    <mergeCell ref="H33:I33"/>
    <mergeCell ref="C31:E31"/>
    <mergeCell ref="H31:I31"/>
    <mergeCell ref="C29:E29"/>
    <mergeCell ref="H29:I29"/>
    <mergeCell ref="C30:E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E27"/>
    <mergeCell ref="H27:I27"/>
    <mergeCell ref="J27:L27"/>
    <mergeCell ref="M27:N27"/>
    <mergeCell ref="C28:E28"/>
    <mergeCell ref="H28:I28"/>
    <mergeCell ref="J28:L28"/>
    <mergeCell ref="M28:N28"/>
    <mergeCell ref="C25:E25"/>
    <mergeCell ref="H25:I25"/>
    <mergeCell ref="J25:L25"/>
    <mergeCell ref="M25:N25"/>
    <mergeCell ref="C26:E26"/>
    <mergeCell ref="H26:I26"/>
    <mergeCell ref="J26:L26"/>
    <mergeCell ref="M26:N26"/>
    <mergeCell ref="C23:E23"/>
    <mergeCell ref="H23:I23"/>
    <mergeCell ref="J23:L23"/>
    <mergeCell ref="M23:N23"/>
    <mergeCell ref="C24:E24"/>
    <mergeCell ref="H24:I24"/>
    <mergeCell ref="J24:L24"/>
    <mergeCell ref="M24:N24"/>
    <mergeCell ref="C21:E21"/>
    <mergeCell ref="H21:I21"/>
    <mergeCell ref="J21:L21"/>
    <mergeCell ref="M21:N21"/>
    <mergeCell ref="C22:E22"/>
    <mergeCell ref="H22:I22"/>
    <mergeCell ref="J22:L22"/>
    <mergeCell ref="M22:N22"/>
    <mergeCell ref="C19:E19"/>
    <mergeCell ref="H19:I19"/>
    <mergeCell ref="J19:L19"/>
    <mergeCell ref="M19:N19"/>
    <mergeCell ref="C20:E20"/>
    <mergeCell ref="H20:I20"/>
    <mergeCell ref="J20:L20"/>
    <mergeCell ref="M20:N20"/>
    <mergeCell ref="C17:E17"/>
    <mergeCell ref="H17:I17"/>
    <mergeCell ref="J17:L17"/>
    <mergeCell ref="M17:N17"/>
    <mergeCell ref="C18:E18"/>
    <mergeCell ref="H18:I18"/>
    <mergeCell ref="J18:L18"/>
    <mergeCell ref="M18:N18"/>
    <mergeCell ref="C15:E15"/>
    <mergeCell ref="H15:I15"/>
    <mergeCell ref="J15:L15"/>
    <mergeCell ref="M15:N15"/>
    <mergeCell ref="C16:E16"/>
    <mergeCell ref="H16:I16"/>
    <mergeCell ref="J16:L16"/>
    <mergeCell ref="M16:N16"/>
    <mergeCell ref="M13:N13"/>
    <mergeCell ref="C14:E14"/>
    <mergeCell ref="H14:I14"/>
    <mergeCell ref="J14:L14"/>
    <mergeCell ref="M14:N14"/>
    <mergeCell ref="C13:E13"/>
    <mergeCell ref="H13:I13"/>
    <mergeCell ref="J13:L13"/>
    <mergeCell ref="C12:E12"/>
    <mergeCell ref="H12:I12"/>
    <mergeCell ref="J12:L12"/>
    <mergeCell ref="M12:N12"/>
    <mergeCell ref="C11:E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E9"/>
    <mergeCell ref="H9:I9"/>
    <mergeCell ref="J9:L9"/>
    <mergeCell ref="C10:E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FEDCE6D5-E734-4681-ADDB-800B3102F681}">
      <formula1>Coatings</formula1>
    </dataValidation>
    <dataValidation type="list" errorStyle="warning" allowBlank="1" showInputMessage="1" showErrorMessage="1" errorTitle="Unlisted" error="You have entered an unlisted item.  Please make sure the item entered is correct." sqref="F11:F37" xr:uid="{B150049B-408C-46D8-8177-12B26961DF2C}">
      <formula1>HotRolled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365B-AB79-49E9-B324-3DA514F224E7}">
  <sheetPr codeName="Sheet10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350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3" t="s">
        <v>240</v>
      </c>
      <c r="D9" s="423"/>
      <c r="E9" s="423"/>
      <c r="F9" s="424"/>
      <c r="G9" s="38" t="s">
        <v>271</v>
      </c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413"/>
      <c r="G10" s="71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143"/>
      <c r="C11" s="405"/>
      <c r="D11" s="405"/>
      <c r="E11" s="405"/>
      <c r="F11" s="405"/>
      <c r="G11" s="143"/>
      <c r="H11" s="406"/>
      <c r="I11" s="406"/>
      <c r="J11" s="405"/>
      <c r="K11" s="405"/>
      <c r="L11" s="405"/>
      <c r="M11" s="405"/>
      <c r="N11" s="407"/>
    </row>
    <row r="12" spans="1:16" ht="13.5" customHeight="1" x14ac:dyDescent="0.25">
      <c r="A12" s="142"/>
      <c r="B12" s="143"/>
      <c r="C12" s="405"/>
      <c r="D12" s="405"/>
      <c r="E12" s="405"/>
      <c r="F12" s="405"/>
      <c r="G12" s="143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143"/>
      <c r="C13" s="405"/>
      <c r="D13" s="405"/>
      <c r="E13" s="405"/>
      <c r="F13" s="405"/>
      <c r="G13" s="143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05"/>
      <c r="D14" s="405"/>
      <c r="E14" s="405"/>
      <c r="F14" s="405"/>
      <c r="G14" s="143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05"/>
      <c r="D15" s="405"/>
      <c r="E15" s="405"/>
      <c r="F15" s="405"/>
      <c r="G15" s="143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05"/>
      <c r="D16" s="405"/>
      <c r="E16" s="405"/>
      <c r="F16" s="405"/>
      <c r="G16" s="143"/>
      <c r="H16" s="406"/>
      <c r="I16" s="406"/>
      <c r="J16" s="405"/>
      <c r="K16" s="405"/>
      <c r="L16" s="405"/>
      <c r="M16" s="405"/>
      <c r="N16" s="407"/>
    </row>
    <row r="17" spans="1:14" ht="13.5" customHeight="1" x14ac:dyDescent="0.25">
      <c r="A17" s="142"/>
      <c r="B17" s="143"/>
      <c r="C17" s="405"/>
      <c r="D17" s="405"/>
      <c r="E17" s="405"/>
      <c r="F17" s="405"/>
      <c r="G17" s="143"/>
      <c r="H17" s="406"/>
      <c r="I17" s="406"/>
      <c r="J17" s="405"/>
      <c r="K17" s="405"/>
      <c r="L17" s="405"/>
      <c r="M17" s="405"/>
      <c r="N17" s="407"/>
    </row>
    <row r="18" spans="1:14" ht="13.5" customHeight="1" x14ac:dyDescent="0.25">
      <c r="A18" s="142"/>
      <c r="B18" s="143"/>
      <c r="C18" s="405"/>
      <c r="D18" s="405"/>
      <c r="E18" s="405"/>
      <c r="F18" s="405"/>
      <c r="G18" s="143"/>
      <c r="H18" s="406"/>
      <c r="I18" s="406"/>
      <c r="J18" s="405"/>
      <c r="K18" s="405"/>
      <c r="L18" s="405"/>
      <c r="M18" s="405"/>
      <c r="N18" s="407"/>
    </row>
    <row r="19" spans="1:14" ht="13.5" customHeight="1" x14ac:dyDescent="0.25">
      <c r="A19" s="142"/>
      <c r="B19" s="143"/>
      <c r="C19" s="405"/>
      <c r="D19" s="405"/>
      <c r="E19" s="405"/>
      <c r="F19" s="405"/>
      <c r="G19" s="143"/>
      <c r="H19" s="406"/>
      <c r="I19" s="406"/>
      <c r="J19" s="405"/>
      <c r="K19" s="405"/>
      <c r="L19" s="405"/>
      <c r="M19" s="405"/>
      <c r="N19" s="407"/>
    </row>
    <row r="20" spans="1:14" ht="13.5" customHeight="1" x14ac:dyDescent="0.25">
      <c r="A20" s="142"/>
      <c r="B20" s="143"/>
      <c r="C20" s="405"/>
      <c r="D20" s="405"/>
      <c r="E20" s="405"/>
      <c r="F20" s="405"/>
      <c r="G20" s="143"/>
      <c r="H20" s="406"/>
      <c r="I20" s="4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143"/>
      <c r="C21" s="405"/>
      <c r="D21" s="405"/>
      <c r="E21" s="405"/>
      <c r="F21" s="405"/>
      <c r="G21" s="143"/>
      <c r="H21" s="406"/>
      <c r="I21" s="406"/>
      <c r="J21" s="405"/>
      <c r="K21" s="405"/>
      <c r="L21" s="405"/>
      <c r="M21" s="405"/>
      <c r="N21" s="407"/>
    </row>
    <row r="22" spans="1:14" ht="13.5" customHeight="1" x14ac:dyDescent="0.25">
      <c r="A22" s="142"/>
      <c r="B22" s="143"/>
      <c r="C22" s="405"/>
      <c r="D22" s="405"/>
      <c r="E22" s="405"/>
      <c r="F22" s="405"/>
      <c r="G22" s="143"/>
      <c r="H22" s="406"/>
      <c r="I22" s="406"/>
      <c r="J22" s="405"/>
      <c r="K22" s="405"/>
      <c r="L22" s="405"/>
      <c r="M22" s="405"/>
      <c r="N22" s="407"/>
    </row>
    <row r="23" spans="1:14" ht="13.5" customHeight="1" x14ac:dyDescent="0.25">
      <c r="A23" s="142"/>
      <c r="B23" s="143"/>
      <c r="C23" s="405"/>
      <c r="D23" s="405"/>
      <c r="E23" s="405"/>
      <c r="F23" s="405"/>
      <c r="G23" s="143"/>
      <c r="H23" s="406"/>
      <c r="I23" s="406"/>
      <c r="J23" s="405"/>
      <c r="K23" s="405"/>
      <c r="L23" s="405"/>
      <c r="M23" s="405"/>
      <c r="N23" s="407"/>
    </row>
    <row r="24" spans="1:14" ht="13.5" customHeight="1" x14ac:dyDescent="0.25">
      <c r="A24" s="142"/>
      <c r="B24" s="143"/>
      <c r="C24" s="405"/>
      <c r="D24" s="405"/>
      <c r="E24" s="405"/>
      <c r="F24" s="405"/>
      <c r="G24" s="143"/>
      <c r="H24" s="406"/>
      <c r="I24" s="406"/>
      <c r="J24" s="405"/>
      <c r="K24" s="405"/>
      <c r="L24" s="405"/>
      <c r="M24" s="405"/>
      <c r="N24" s="407"/>
    </row>
    <row r="25" spans="1:14" ht="13.5" customHeight="1" x14ac:dyDescent="0.25">
      <c r="A25" s="142"/>
      <c r="B25" s="143"/>
      <c r="C25" s="405"/>
      <c r="D25" s="405"/>
      <c r="E25" s="405"/>
      <c r="F25" s="405"/>
      <c r="G25" s="143"/>
      <c r="H25" s="406"/>
      <c r="I25" s="406"/>
      <c r="J25" s="405"/>
      <c r="K25" s="405"/>
      <c r="L25" s="405"/>
      <c r="M25" s="405"/>
      <c r="N25" s="407"/>
    </row>
    <row r="26" spans="1:14" ht="13.5" customHeight="1" x14ac:dyDescent="0.25">
      <c r="A26" s="142"/>
      <c r="B26" s="143"/>
      <c r="C26" s="405"/>
      <c r="D26" s="405"/>
      <c r="E26" s="405"/>
      <c r="F26" s="405"/>
      <c r="G26" s="143"/>
      <c r="H26" s="406"/>
      <c r="I26" s="406"/>
      <c r="J26" s="405"/>
      <c r="K26" s="405"/>
      <c r="L26" s="405"/>
      <c r="M26" s="405"/>
      <c r="N26" s="407"/>
    </row>
    <row r="27" spans="1:14" ht="13.5" customHeight="1" x14ac:dyDescent="0.25">
      <c r="A27" s="142"/>
      <c r="B27" s="143"/>
      <c r="C27" s="405"/>
      <c r="D27" s="405"/>
      <c r="E27" s="405"/>
      <c r="F27" s="405"/>
      <c r="G27" s="143"/>
      <c r="H27" s="406"/>
      <c r="I27" s="406"/>
      <c r="J27" s="405"/>
      <c r="K27" s="405"/>
      <c r="L27" s="405"/>
      <c r="M27" s="405"/>
      <c r="N27" s="407"/>
    </row>
    <row r="28" spans="1:14" ht="13.5" customHeight="1" x14ac:dyDescent="0.25">
      <c r="A28" s="142"/>
      <c r="B28" s="143"/>
      <c r="C28" s="405"/>
      <c r="D28" s="405"/>
      <c r="E28" s="405"/>
      <c r="F28" s="405"/>
      <c r="G28" s="143"/>
      <c r="H28" s="406"/>
      <c r="I28" s="406"/>
      <c r="J28" s="405"/>
      <c r="K28" s="405"/>
      <c r="L28" s="405"/>
      <c r="M28" s="405"/>
      <c r="N28" s="407"/>
    </row>
    <row r="29" spans="1:14" ht="13.5" customHeight="1" x14ac:dyDescent="0.25">
      <c r="A29" s="142"/>
      <c r="B29" s="143"/>
      <c r="C29" s="405"/>
      <c r="D29" s="405"/>
      <c r="E29" s="405"/>
      <c r="F29" s="405"/>
      <c r="G29" s="143"/>
      <c r="H29" s="406"/>
      <c r="I29" s="406"/>
      <c r="J29" s="405"/>
      <c r="K29" s="405"/>
      <c r="L29" s="405"/>
      <c r="M29" s="405"/>
      <c r="N29" s="407"/>
    </row>
    <row r="30" spans="1:14" ht="13.5" customHeight="1" x14ac:dyDescent="0.25">
      <c r="A30" s="142"/>
      <c r="B30" s="143"/>
      <c r="C30" s="405"/>
      <c r="D30" s="405"/>
      <c r="E30" s="405"/>
      <c r="F30" s="405"/>
      <c r="G30" s="143"/>
      <c r="H30" s="406"/>
      <c r="I30" s="406"/>
      <c r="J30" s="405"/>
      <c r="K30" s="405"/>
      <c r="L30" s="405"/>
      <c r="M30" s="405"/>
      <c r="N30" s="407"/>
    </row>
    <row r="31" spans="1:14" ht="13.5" customHeight="1" x14ac:dyDescent="0.25">
      <c r="A31" s="142"/>
      <c r="B31" s="143"/>
      <c r="C31" s="405"/>
      <c r="D31" s="405"/>
      <c r="E31" s="405"/>
      <c r="F31" s="405"/>
      <c r="G31" s="143"/>
      <c r="H31" s="406"/>
      <c r="I31" s="406"/>
      <c r="J31" s="405"/>
      <c r="K31" s="405"/>
      <c r="L31" s="405"/>
      <c r="M31" s="405"/>
      <c r="N31" s="407"/>
    </row>
    <row r="32" spans="1:14" ht="13.5" customHeight="1" x14ac:dyDescent="0.25">
      <c r="A32" s="142"/>
      <c r="B32" s="143"/>
      <c r="C32" s="405"/>
      <c r="D32" s="405"/>
      <c r="E32" s="405"/>
      <c r="F32" s="405"/>
      <c r="G32" s="143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05"/>
      <c r="D33" s="405"/>
      <c r="E33" s="405"/>
      <c r="F33" s="405"/>
      <c r="G33" s="143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05"/>
      <c r="D34" s="405"/>
      <c r="E34" s="405"/>
      <c r="F34" s="405"/>
      <c r="G34" s="143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05"/>
      <c r="D35" s="405"/>
      <c r="E35" s="405"/>
      <c r="F35" s="405"/>
      <c r="G35" s="143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142"/>
      <c r="B36" s="143"/>
      <c r="C36" s="405"/>
      <c r="D36" s="405"/>
      <c r="E36" s="405"/>
      <c r="F36" s="405"/>
      <c r="G36" s="143"/>
      <c r="H36" s="406"/>
      <c r="I36" s="4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145"/>
      <c r="C37" s="408"/>
      <c r="D37" s="408"/>
      <c r="E37" s="408"/>
      <c r="F37" s="408"/>
      <c r="G37" s="145"/>
      <c r="H37" s="409"/>
      <c r="I37" s="4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6:F36"/>
    <mergeCell ref="H36:I36"/>
    <mergeCell ref="C35:F35"/>
    <mergeCell ref="H35:I35"/>
    <mergeCell ref="C34:F34"/>
    <mergeCell ref="H34:I34"/>
    <mergeCell ref="K39:L39"/>
    <mergeCell ref="M39:N39"/>
    <mergeCell ref="J36:L36"/>
    <mergeCell ref="M36:N36"/>
    <mergeCell ref="J37:L37"/>
    <mergeCell ref="M37:N37"/>
    <mergeCell ref="C37:F37"/>
    <mergeCell ref="H37:I37"/>
    <mergeCell ref="J29:L29"/>
    <mergeCell ref="M29:N29"/>
    <mergeCell ref="C32:F32"/>
    <mergeCell ref="H32:I32"/>
    <mergeCell ref="C33:F33"/>
    <mergeCell ref="H33:I33"/>
    <mergeCell ref="C31:F31"/>
    <mergeCell ref="H31:I31"/>
    <mergeCell ref="C29:F29"/>
    <mergeCell ref="H29:I29"/>
    <mergeCell ref="C30:F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F27"/>
    <mergeCell ref="H27:I27"/>
    <mergeCell ref="J27:L27"/>
    <mergeCell ref="M27:N27"/>
    <mergeCell ref="C28:F28"/>
    <mergeCell ref="H28:I28"/>
    <mergeCell ref="J28:L28"/>
    <mergeCell ref="M28:N28"/>
    <mergeCell ref="C25:F25"/>
    <mergeCell ref="H25:I25"/>
    <mergeCell ref="J25:L25"/>
    <mergeCell ref="M25:N25"/>
    <mergeCell ref="C26:F26"/>
    <mergeCell ref="H26:I26"/>
    <mergeCell ref="J26:L26"/>
    <mergeCell ref="M26:N26"/>
    <mergeCell ref="C23:F23"/>
    <mergeCell ref="H23:I23"/>
    <mergeCell ref="J23:L23"/>
    <mergeCell ref="M23:N23"/>
    <mergeCell ref="C24:F24"/>
    <mergeCell ref="H24:I24"/>
    <mergeCell ref="J24:L24"/>
    <mergeCell ref="M24:N24"/>
    <mergeCell ref="C21:F21"/>
    <mergeCell ref="H21:I21"/>
    <mergeCell ref="J21:L21"/>
    <mergeCell ref="M21:N21"/>
    <mergeCell ref="C22:F22"/>
    <mergeCell ref="H22:I22"/>
    <mergeCell ref="J22:L22"/>
    <mergeCell ref="M22:N22"/>
    <mergeCell ref="C19:F19"/>
    <mergeCell ref="H19:I19"/>
    <mergeCell ref="J19:L19"/>
    <mergeCell ref="M19:N19"/>
    <mergeCell ref="C20:F20"/>
    <mergeCell ref="H20:I20"/>
    <mergeCell ref="J20:L20"/>
    <mergeCell ref="M20:N20"/>
    <mergeCell ref="C17:F17"/>
    <mergeCell ref="H17:I17"/>
    <mergeCell ref="J17:L17"/>
    <mergeCell ref="M17:N17"/>
    <mergeCell ref="C18:F18"/>
    <mergeCell ref="H18:I18"/>
    <mergeCell ref="J18:L18"/>
    <mergeCell ref="M18:N18"/>
    <mergeCell ref="C15:F15"/>
    <mergeCell ref="H15:I15"/>
    <mergeCell ref="J15:L15"/>
    <mergeCell ref="M15:N15"/>
    <mergeCell ref="C16:F16"/>
    <mergeCell ref="H16:I16"/>
    <mergeCell ref="J16:L16"/>
    <mergeCell ref="M16:N16"/>
    <mergeCell ref="M13:N13"/>
    <mergeCell ref="C14:F14"/>
    <mergeCell ref="H14:I14"/>
    <mergeCell ref="J14:L14"/>
    <mergeCell ref="M14:N14"/>
    <mergeCell ref="C13:F13"/>
    <mergeCell ref="H13:I13"/>
    <mergeCell ref="J13:L13"/>
    <mergeCell ref="C12:F12"/>
    <mergeCell ref="H12:I12"/>
    <mergeCell ref="J12:L12"/>
    <mergeCell ref="M12:N12"/>
    <mergeCell ref="C11:F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F9"/>
    <mergeCell ref="H9:I9"/>
    <mergeCell ref="J9:L9"/>
    <mergeCell ref="C10:F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1">
    <dataValidation type="list" errorStyle="warning" allowBlank="1" showInputMessage="1" showErrorMessage="1" errorTitle="Unlisted" error="You have entered an unlisted item.  Please make sure the item entered is correct." sqref="H11:I37" xr:uid="{7B1451AC-E062-4D61-AADE-4FEDEEEED00A}">
      <formula1>Coatings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BDCF-7435-4CE5-9634-6C387208E0F9}">
  <sheetPr codeName="Sheet16"/>
  <dimension ref="A1:P39"/>
  <sheetViews>
    <sheetView workbookViewId="0"/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349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4"/>
      <c r="F9" s="69" t="s">
        <v>272</v>
      </c>
      <c r="G9" s="67" t="s">
        <v>271</v>
      </c>
      <c r="H9" s="422" t="s">
        <v>242</v>
      </c>
      <c r="I9" s="424"/>
      <c r="J9" s="422" t="s">
        <v>241</v>
      </c>
      <c r="K9" s="423"/>
      <c r="L9" s="424"/>
      <c r="M9" s="422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129"/>
      <c r="G10" s="71"/>
      <c r="H10" s="413"/>
      <c r="I10" s="413"/>
      <c r="J10" s="413"/>
      <c r="K10" s="413"/>
      <c r="L10" s="413"/>
      <c r="M10" s="413"/>
      <c r="N10" s="415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406"/>
      <c r="I11" s="406"/>
      <c r="J11" s="405"/>
      <c r="K11" s="405"/>
      <c r="L11" s="405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406"/>
      <c r="I12" s="406"/>
      <c r="J12" s="405"/>
      <c r="K12" s="405"/>
      <c r="L12" s="405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406"/>
      <c r="I13" s="406"/>
      <c r="J13" s="405"/>
      <c r="K13" s="405"/>
      <c r="L13" s="405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406"/>
      <c r="I14" s="406"/>
      <c r="J14" s="405"/>
      <c r="K14" s="405"/>
      <c r="L14" s="405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406"/>
      <c r="I15" s="406"/>
      <c r="J15" s="405"/>
      <c r="K15" s="405"/>
      <c r="L15" s="405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406"/>
      <c r="I16" s="406"/>
      <c r="J16" s="405"/>
      <c r="K16" s="405"/>
      <c r="L16" s="405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406"/>
      <c r="I17" s="406"/>
      <c r="J17" s="405"/>
      <c r="K17" s="405"/>
      <c r="L17" s="405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406"/>
      <c r="I18" s="406"/>
      <c r="J18" s="405"/>
      <c r="K18" s="405"/>
      <c r="L18" s="405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406"/>
      <c r="I19" s="406"/>
      <c r="J19" s="405"/>
      <c r="K19" s="405"/>
      <c r="L19" s="405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406"/>
      <c r="I20" s="406"/>
      <c r="J20" s="405"/>
      <c r="K20" s="405"/>
      <c r="L20" s="405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406"/>
      <c r="I21" s="406"/>
      <c r="J21" s="405"/>
      <c r="K21" s="405"/>
      <c r="L21" s="405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406"/>
      <c r="I22" s="406"/>
      <c r="J22" s="405"/>
      <c r="K22" s="405"/>
      <c r="L22" s="405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406"/>
      <c r="I23" s="406"/>
      <c r="J23" s="405"/>
      <c r="K23" s="405"/>
      <c r="L23" s="405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406"/>
      <c r="I24" s="406"/>
      <c r="J24" s="405"/>
      <c r="K24" s="405"/>
      <c r="L24" s="405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406"/>
      <c r="I25" s="406"/>
      <c r="J25" s="405"/>
      <c r="K25" s="405"/>
      <c r="L25" s="405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406"/>
      <c r="I26" s="406"/>
      <c r="J26" s="405"/>
      <c r="K26" s="405"/>
      <c r="L26" s="405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406"/>
      <c r="I27" s="406"/>
      <c r="J27" s="405"/>
      <c r="K27" s="405"/>
      <c r="L27" s="405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406"/>
      <c r="I28" s="406"/>
      <c r="J28" s="405"/>
      <c r="K28" s="405"/>
      <c r="L28" s="405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406"/>
      <c r="I29" s="406"/>
      <c r="J29" s="405"/>
      <c r="K29" s="405"/>
      <c r="L29" s="405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406"/>
      <c r="I30" s="406"/>
      <c r="J30" s="405"/>
      <c r="K30" s="405"/>
      <c r="L30" s="405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406"/>
      <c r="I31" s="406"/>
      <c r="J31" s="405"/>
      <c r="K31" s="405"/>
      <c r="L31" s="405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406"/>
      <c r="I32" s="406"/>
      <c r="J32" s="405"/>
      <c r="K32" s="405"/>
      <c r="L32" s="405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406"/>
      <c r="I33" s="406"/>
      <c r="J33" s="405"/>
      <c r="K33" s="405"/>
      <c r="L33" s="405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406"/>
      <c r="I34" s="406"/>
      <c r="J34" s="405"/>
      <c r="K34" s="405"/>
      <c r="L34" s="405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406"/>
      <c r="I35" s="406"/>
      <c r="J35" s="405"/>
      <c r="K35" s="405"/>
      <c r="L35" s="405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406"/>
      <c r="I36" s="406"/>
      <c r="J36" s="405"/>
      <c r="K36" s="405"/>
      <c r="L36" s="405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409"/>
      <c r="I37" s="409"/>
      <c r="J37" s="408"/>
      <c r="K37" s="408"/>
      <c r="L37" s="408"/>
      <c r="M37" s="509"/>
      <c r="N37" s="5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6:E36"/>
    <mergeCell ref="H36:I36"/>
    <mergeCell ref="C35:E35"/>
    <mergeCell ref="H35:I35"/>
    <mergeCell ref="C34:E34"/>
    <mergeCell ref="H34:I34"/>
    <mergeCell ref="K39:L39"/>
    <mergeCell ref="M39:N39"/>
    <mergeCell ref="J36:L36"/>
    <mergeCell ref="M36:N36"/>
    <mergeCell ref="J37:L37"/>
    <mergeCell ref="M37:N37"/>
    <mergeCell ref="C37:E37"/>
    <mergeCell ref="H37:I37"/>
    <mergeCell ref="J29:L29"/>
    <mergeCell ref="M29:N29"/>
    <mergeCell ref="C32:E32"/>
    <mergeCell ref="H32:I32"/>
    <mergeCell ref="C33:E33"/>
    <mergeCell ref="H33:I33"/>
    <mergeCell ref="C31:E31"/>
    <mergeCell ref="H31:I31"/>
    <mergeCell ref="C29:E29"/>
    <mergeCell ref="H29:I29"/>
    <mergeCell ref="C30:E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E27"/>
    <mergeCell ref="H27:I27"/>
    <mergeCell ref="J27:L27"/>
    <mergeCell ref="M27:N27"/>
    <mergeCell ref="C28:E28"/>
    <mergeCell ref="H28:I28"/>
    <mergeCell ref="J28:L28"/>
    <mergeCell ref="M28:N28"/>
    <mergeCell ref="C25:E25"/>
    <mergeCell ref="H25:I25"/>
    <mergeCell ref="J25:L25"/>
    <mergeCell ref="M25:N25"/>
    <mergeCell ref="C26:E26"/>
    <mergeCell ref="H26:I26"/>
    <mergeCell ref="J26:L26"/>
    <mergeCell ref="M26:N26"/>
    <mergeCell ref="C23:E23"/>
    <mergeCell ref="H23:I23"/>
    <mergeCell ref="J23:L23"/>
    <mergeCell ref="M23:N23"/>
    <mergeCell ref="C24:E24"/>
    <mergeCell ref="H24:I24"/>
    <mergeCell ref="J24:L24"/>
    <mergeCell ref="M24:N24"/>
    <mergeCell ref="C21:E21"/>
    <mergeCell ref="H21:I21"/>
    <mergeCell ref="J21:L21"/>
    <mergeCell ref="M21:N21"/>
    <mergeCell ref="C22:E22"/>
    <mergeCell ref="H22:I22"/>
    <mergeCell ref="J22:L22"/>
    <mergeCell ref="M22:N22"/>
    <mergeCell ref="C19:E19"/>
    <mergeCell ref="H19:I19"/>
    <mergeCell ref="J19:L19"/>
    <mergeCell ref="M19:N19"/>
    <mergeCell ref="C20:E20"/>
    <mergeCell ref="H20:I20"/>
    <mergeCell ref="J20:L20"/>
    <mergeCell ref="M20:N20"/>
    <mergeCell ref="C17:E17"/>
    <mergeCell ref="H17:I17"/>
    <mergeCell ref="J17:L17"/>
    <mergeCell ref="M17:N17"/>
    <mergeCell ref="C18:E18"/>
    <mergeCell ref="H18:I18"/>
    <mergeCell ref="J18:L18"/>
    <mergeCell ref="M18:N18"/>
    <mergeCell ref="C15:E15"/>
    <mergeCell ref="H15:I15"/>
    <mergeCell ref="J15:L15"/>
    <mergeCell ref="M15:N15"/>
    <mergeCell ref="C16:E16"/>
    <mergeCell ref="H16:I16"/>
    <mergeCell ref="J16:L16"/>
    <mergeCell ref="M16:N16"/>
    <mergeCell ref="M13:N13"/>
    <mergeCell ref="C14:E14"/>
    <mergeCell ref="H14:I14"/>
    <mergeCell ref="J14:L14"/>
    <mergeCell ref="M14:N14"/>
    <mergeCell ref="C13:E13"/>
    <mergeCell ref="H13:I13"/>
    <mergeCell ref="J13:L13"/>
    <mergeCell ref="C12:E12"/>
    <mergeCell ref="H12:I12"/>
    <mergeCell ref="J12:L12"/>
    <mergeCell ref="M12:N12"/>
    <mergeCell ref="C11:E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E9"/>
    <mergeCell ref="H9:I9"/>
    <mergeCell ref="J9:L9"/>
    <mergeCell ref="C10:E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865ECEC1-4434-4142-8173-19F07951E3B9}">
      <formula1>Coatings</formula1>
    </dataValidation>
    <dataValidation type="list" errorStyle="warning" allowBlank="1" showInputMessage="1" showErrorMessage="1" errorTitle="Unlisted" error="You have entered an unlisted item.  Please make sure the item entered is correct." sqref="F11:F37" xr:uid="{D3BC0638-AF8B-4648-9F43-F87C4859CE74}">
      <formula1>HotRolled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4286-9D7B-499E-88F1-DC0A6FFC9BD8}">
  <sheetPr codeName="Sheet17"/>
  <dimension ref="A1:P39"/>
  <sheetViews>
    <sheetView workbookViewId="0"/>
  </sheetViews>
  <sheetFormatPr defaultRowHeight="13.2" x14ac:dyDescent="0.25"/>
  <cols>
    <col min="1" max="14" width="9.77734375" customWidth="1"/>
  </cols>
  <sheetData>
    <row r="1" spans="1:16" ht="19.5" customHeight="1" x14ac:dyDescent="0.25">
      <c r="A1" s="176"/>
      <c r="B1" s="177"/>
      <c r="C1" s="177"/>
      <c r="D1" s="177"/>
      <c r="E1" s="177"/>
      <c r="F1" s="178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181"/>
      <c r="B2" s="182"/>
      <c r="C2" s="182"/>
      <c r="D2" s="182"/>
      <c r="E2" s="182"/>
      <c r="F2" s="183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181"/>
      <c r="B3" s="182"/>
      <c r="C3" s="182"/>
      <c r="D3" s="182"/>
      <c r="E3" s="182"/>
      <c r="F3" s="183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181"/>
      <c r="B4" s="182"/>
      <c r="C4" s="182"/>
      <c r="D4" s="182"/>
      <c r="E4" s="182"/>
      <c r="F4" s="183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181"/>
      <c r="B5" s="182"/>
      <c r="C5" s="182"/>
      <c r="D5" s="182"/>
      <c r="E5" s="182"/>
      <c r="F5" s="183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184"/>
      <c r="B6" s="185"/>
      <c r="C6" s="185"/>
      <c r="D6" s="185"/>
      <c r="E6" s="185"/>
      <c r="F6" s="186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91" t="s">
        <v>258</v>
      </c>
      <c r="B7" s="493"/>
      <c r="C7" s="494">
        <f>Cover!$G$28</f>
        <v>0</v>
      </c>
      <c r="D7" s="495"/>
      <c r="E7" s="495"/>
      <c r="F7" s="495"/>
      <c r="G7" s="495"/>
      <c r="H7" s="495"/>
      <c r="I7" s="495"/>
      <c r="J7" s="495"/>
      <c r="K7" s="495"/>
      <c r="L7" s="495"/>
      <c r="M7" s="495"/>
      <c r="N7" s="496"/>
    </row>
    <row r="8" spans="1:16" ht="19.5" customHeight="1" thickBot="1" x14ac:dyDescent="0.3">
      <c r="A8" s="491" t="s">
        <v>348</v>
      </c>
      <c r="B8" s="492"/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2"/>
      <c r="N8" s="493"/>
      <c r="O8" s="37"/>
      <c r="P8" s="37"/>
    </row>
    <row r="9" spans="1:16" ht="22.5" customHeight="1" thickBot="1" x14ac:dyDescent="0.3">
      <c r="A9" s="164" t="s">
        <v>238</v>
      </c>
      <c r="B9" s="164" t="s">
        <v>239</v>
      </c>
      <c r="C9" s="501" t="s">
        <v>240</v>
      </c>
      <c r="D9" s="499"/>
      <c r="E9" s="500"/>
      <c r="F9" s="166" t="s">
        <v>272</v>
      </c>
      <c r="G9" s="165" t="s">
        <v>271</v>
      </c>
      <c r="H9" s="501" t="s">
        <v>242</v>
      </c>
      <c r="I9" s="500"/>
      <c r="J9" s="501" t="s">
        <v>241</v>
      </c>
      <c r="K9" s="499"/>
      <c r="L9" s="500"/>
      <c r="M9" s="501" t="s">
        <v>327</v>
      </c>
      <c r="N9" s="500"/>
    </row>
    <row r="10" spans="1:16" ht="13.5" customHeight="1" x14ac:dyDescent="0.25">
      <c r="A10" s="167"/>
      <c r="B10" s="168"/>
      <c r="C10" s="497"/>
      <c r="D10" s="497"/>
      <c r="E10" s="497"/>
      <c r="F10" s="169"/>
      <c r="G10" s="168"/>
      <c r="H10" s="497"/>
      <c r="I10" s="497"/>
      <c r="J10" s="497"/>
      <c r="K10" s="497"/>
      <c r="L10" s="497"/>
      <c r="M10" s="497"/>
      <c r="N10" s="498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406"/>
      <c r="I11" s="406"/>
      <c r="J11" s="405"/>
      <c r="K11" s="405"/>
      <c r="L11" s="405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406"/>
      <c r="I12" s="406"/>
      <c r="J12" s="405"/>
      <c r="K12" s="405"/>
      <c r="L12" s="405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406"/>
      <c r="I13" s="406"/>
      <c r="J13" s="405"/>
      <c r="K13" s="405"/>
      <c r="L13" s="405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406"/>
      <c r="I14" s="406"/>
      <c r="J14" s="405"/>
      <c r="K14" s="405"/>
      <c r="L14" s="405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406"/>
      <c r="I15" s="406"/>
      <c r="J15" s="405"/>
      <c r="K15" s="405"/>
      <c r="L15" s="405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406"/>
      <c r="I16" s="406"/>
      <c r="J16" s="405"/>
      <c r="K16" s="405"/>
      <c r="L16" s="405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406"/>
      <c r="I17" s="406"/>
      <c r="J17" s="405"/>
      <c r="K17" s="405"/>
      <c r="L17" s="405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406"/>
      <c r="I18" s="406"/>
      <c r="J18" s="405"/>
      <c r="K18" s="405"/>
      <c r="L18" s="405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406"/>
      <c r="I19" s="406"/>
      <c r="J19" s="405"/>
      <c r="K19" s="405"/>
      <c r="L19" s="405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406"/>
      <c r="I20" s="406"/>
      <c r="J20" s="405"/>
      <c r="K20" s="405"/>
      <c r="L20" s="405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406"/>
      <c r="I21" s="406"/>
      <c r="J21" s="405"/>
      <c r="K21" s="405"/>
      <c r="L21" s="405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406"/>
      <c r="I22" s="406"/>
      <c r="J22" s="405"/>
      <c r="K22" s="405"/>
      <c r="L22" s="405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406"/>
      <c r="I23" s="406"/>
      <c r="J23" s="405"/>
      <c r="K23" s="405"/>
      <c r="L23" s="405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406"/>
      <c r="I24" s="406"/>
      <c r="J24" s="405"/>
      <c r="K24" s="405"/>
      <c r="L24" s="405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406"/>
      <c r="I25" s="406"/>
      <c r="J25" s="405"/>
      <c r="K25" s="405"/>
      <c r="L25" s="405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406"/>
      <c r="I26" s="406"/>
      <c r="J26" s="405"/>
      <c r="K26" s="405"/>
      <c r="L26" s="405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406"/>
      <c r="I27" s="406"/>
      <c r="J27" s="405"/>
      <c r="K27" s="405"/>
      <c r="L27" s="405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406"/>
      <c r="I28" s="406"/>
      <c r="J28" s="405"/>
      <c r="K28" s="405"/>
      <c r="L28" s="405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406"/>
      <c r="I29" s="406"/>
      <c r="J29" s="405"/>
      <c r="K29" s="405"/>
      <c r="L29" s="405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406"/>
      <c r="I30" s="406"/>
      <c r="J30" s="405"/>
      <c r="K30" s="405"/>
      <c r="L30" s="405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406"/>
      <c r="I31" s="406"/>
      <c r="J31" s="405"/>
      <c r="K31" s="405"/>
      <c r="L31" s="405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406"/>
      <c r="I32" s="406"/>
      <c r="J32" s="405"/>
      <c r="K32" s="405"/>
      <c r="L32" s="405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406"/>
      <c r="I33" s="406"/>
      <c r="J33" s="405"/>
      <c r="K33" s="405"/>
      <c r="L33" s="405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406"/>
      <c r="I34" s="406"/>
      <c r="J34" s="405"/>
      <c r="K34" s="405"/>
      <c r="L34" s="405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406"/>
      <c r="I35" s="406"/>
      <c r="J35" s="405"/>
      <c r="K35" s="405"/>
      <c r="L35" s="405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406"/>
      <c r="I36" s="406"/>
      <c r="J36" s="405"/>
      <c r="K36" s="405"/>
      <c r="L36" s="405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409"/>
      <c r="I37" s="409"/>
      <c r="J37" s="408"/>
      <c r="K37" s="408"/>
      <c r="L37" s="408"/>
      <c r="M37" s="509"/>
      <c r="N37" s="5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6:E36"/>
    <mergeCell ref="H36:I36"/>
    <mergeCell ref="C35:E35"/>
    <mergeCell ref="H35:I35"/>
    <mergeCell ref="C34:E34"/>
    <mergeCell ref="H34:I34"/>
    <mergeCell ref="K39:L39"/>
    <mergeCell ref="M39:N39"/>
    <mergeCell ref="J36:L36"/>
    <mergeCell ref="M36:N36"/>
    <mergeCell ref="J37:L37"/>
    <mergeCell ref="M37:N37"/>
    <mergeCell ref="C37:E37"/>
    <mergeCell ref="H37:I37"/>
    <mergeCell ref="J29:L29"/>
    <mergeCell ref="M29:N29"/>
    <mergeCell ref="C32:E32"/>
    <mergeCell ref="H32:I32"/>
    <mergeCell ref="C33:E33"/>
    <mergeCell ref="H33:I33"/>
    <mergeCell ref="C31:E31"/>
    <mergeCell ref="H31:I31"/>
    <mergeCell ref="C29:E29"/>
    <mergeCell ref="H29:I29"/>
    <mergeCell ref="C30:E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E27"/>
    <mergeCell ref="H27:I27"/>
    <mergeCell ref="J27:L27"/>
    <mergeCell ref="M27:N27"/>
    <mergeCell ref="C28:E28"/>
    <mergeCell ref="H28:I28"/>
    <mergeCell ref="J28:L28"/>
    <mergeCell ref="M28:N28"/>
    <mergeCell ref="C25:E25"/>
    <mergeCell ref="H25:I25"/>
    <mergeCell ref="J25:L25"/>
    <mergeCell ref="M25:N25"/>
    <mergeCell ref="C26:E26"/>
    <mergeCell ref="H26:I26"/>
    <mergeCell ref="J26:L26"/>
    <mergeCell ref="M26:N26"/>
    <mergeCell ref="C23:E23"/>
    <mergeCell ref="H23:I23"/>
    <mergeCell ref="J23:L23"/>
    <mergeCell ref="M23:N23"/>
    <mergeCell ref="C24:E24"/>
    <mergeCell ref="H24:I24"/>
    <mergeCell ref="J24:L24"/>
    <mergeCell ref="M24:N24"/>
    <mergeCell ref="C21:E21"/>
    <mergeCell ref="H21:I21"/>
    <mergeCell ref="J21:L21"/>
    <mergeCell ref="M21:N21"/>
    <mergeCell ref="C22:E22"/>
    <mergeCell ref="H22:I22"/>
    <mergeCell ref="J22:L22"/>
    <mergeCell ref="M22:N22"/>
    <mergeCell ref="C19:E19"/>
    <mergeCell ref="H19:I19"/>
    <mergeCell ref="J19:L19"/>
    <mergeCell ref="M19:N19"/>
    <mergeCell ref="C20:E20"/>
    <mergeCell ref="H20:I20"/>
    <mergeCell ref="J20:L20"/>
    <mergeCell ref="M20:N20"/>
    <mergeCell ref="C17:E17"/>
    <mergeCell ref="H17:I17"/>
    <mergeCell ref="J17:L17"/>
    <mergeCell ref="M17:N17"/>
    <mergeCell ref="C18:E18"/>
    <mergeCell ref="H18:I18"/>
    <mergeCell ref="J18:L18"/>
    <mergeCell ref="M18:N18"/>
    <mergeCell ref="C15:E15"/>
    <mergeCell ref="H15:I15"/>
    <mergeCell ref="J15:L15"/>
    <mergeCell ref="M15:N15"/>
    <mergeCell ref="C16:E16"/>
    <mergeCell ref="H16:I16"/>
    <mergeCell ref="J16:L16"/>
    <mergeCell ref="M16:N16"/>
    <mergeCell ref="M13:N13"/>
    <mergeCell ref="C14:E14"/>
    <mergeCell ref="H14:I14"/>
    <mergeCell ref="J14:L14"/>
    <mergeCell ref="M14:N14"/>
    <mergeCell ref="C13:E13"/>
    <mergeCell ref="H13:I13"/>
    <mergeCell ref="J13:L13"/>
    <mergeCell ref="C12:E12"/>
    <mergeCell ref="H12:I12"/>
    <mergeCell ref="J12:L12"/>
    <mergeCell ref="M12:N12"/>
    <mergeCell ref="C11:E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E9"/>
    <mergeCell ref="H9:I9"/>
    <mergeCell ref="J9:L9"/>
    <mergeCell ref="C10:E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B25FC234-DC52-43BF-AEB5-3CB7A90C702D}">
      <formula1>Coatings</formula1>
    </dataValidation>
    <dataValidation type="list" errorStyle="warning" allowBlank="1" showInputMessage="1" showErrorMessage="1" errorTitle="Unlisted" error="You have entered an unlisted item.  Please make sure the item entered is correct." sqref="F11:F37" xr:uid="{847E3620-19E3-4637-AD3B-103E7FEABB42}">
      <formula1>HotRolled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05366-5CE9-4DCE-BA81-DB7C427FF0DD}">
  <sheetPr codeName="Sheet69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347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4"/>
      <c r="F9" s="69" t="s">
        <v>272</v>
      </c>
      <c r="G9" s="67" t="s">
        <v>271</v>
      </c>
      <c r="H9" s="422" t="s">
        <v>242</v>
      </c>
      <c r="I9" s="424"/>
      <c r="J9" s="422" t="s">
        <v>241</v>
      </c>
      <c r="K9" s="423"/>
      <c r="L9" s="424"/>
      <c r="M9" s="422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129"/>
      <c r="G10" s="71"/>
      <c r="H10" s="413"/>
      <c r="I10" s="413"/>
      <c r="J10" s="413"/>
      <c r="K10" s="413"/>
      <c r="L10" s="413"/>
      <c r="M10" s="413"/>
      <c r="N10" s="415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406"/>
      <c r="I11" s="406"/>
      <c r="J11" s="405"/>
      <c r="K11" s="405"/>
      <c r="L11" s="405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406"/>
      <c r="I12" s="406"/>
      <c r="J12" s="405"/>
      <c r="K12" s="405"/>
      <c r="L12" s="405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406"/>
      <c r="I13" s="406"/>
      <c r="J13" s="405"/>
      <c r="K13" s="405"/>
      <c r="L13" s="405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406"/>
      <c r="I14" s="406"/>
      <c r="J14" s="405"/>
      <c r="K14" s="405"/>
      <c r="L14" s="405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406"/>
      <c r="I15" s="406"/>
      <c r="J15" s="405"/>
      <c r="K15" s="405"/>
      <c r="L15" s="405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406"/>
      <c r="I16" s="406"/>
      <c r="J16" s="405"/>
      <c r="K16" s="405"/>
      <c r="L16" s="405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406"/>
      <c r="I17" s="406"/>
      <c r="J17" s="405"/>
      <c r="K17" s="405"/>
      <c r="L17" s="405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406"/>
      <c r="I18" s="406"/>
      <c r="J18" s="405"/>
      <c r="K18" s="405"/>
      <c r="L18" s="405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406"/>
      <c r="I19" s="406"/>
      <c r="J19" s="405"/>
      <c r="K19" s="405"/>
      <c r="L19" s="405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406"/>
      <c r="I20" s="406"/>
      <c r="J20" s="405"/>
      <c r="K20" s="405"/>
      <c r="L20" s="405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406"/>
      <c r="I21" s="406"/>
      <c r="J21" s="405"/>
      <c r="K21" s="405"/>
      <c r="L21" s="405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406"/>
      <c r="I22" s="406"/>
      <c r="J22" s="405"/>
      <c r="K22" s="405"/>
      <c r="L22" s="405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406"/>
      <c r="I23" s="406"/>
      <c r="J23" s="405"/>
      <c r="K23" s="405"/>
      <c r="L23" s="405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406"/>
      <c r="I24" s="406"/>
      <c r="J24" s="405"/>
      <c r="K24" s="405"/>
      <c r="L24" s="405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406"/>
      <c r="I25" s="406"/>
      <c r="J25" s="405"/>
      <c r="K25" s="405"/>
      <c r="L25" s="405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406"/>
      <c r="I26" s="406"/>
      <c r="J26" s="405"/>
      <c r="K26" s="405"/>
      <c r="L26" s="405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406"/>
      <c r="I27" s="406"/>
      <c r="J27" s="405"/>
      <c r="K27" s="405"/>
      <c r="L27" s="405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406"/>
      <c r="I28" s="406"/>
      <c r="J28" s="405"/>
      <c r="K28" s="405"/>
      <c r="L28" s="405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406"/>
      <c r="I29" s="406"/>
      <c r="J29" s="405"/>
      <c r="K29" s="405"/>
      <c r="L29" s="405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406"/>
      <c r="I30" s="406"/>
      <c r="J30" s="405"/>
      <c r="K30" s="405"/>
      <c r="L30" s="405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406"/>
      <c r="I31" s="406"/>
      <c r="J31" s="405"/>
      <c r="K31" s="405"/>
      <c r="L31" s="405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406"/>
      <c r="I32" s="406"/>
      <c r="J32" s="405"/>
      <c r="K32" s="405"/>
      <c r="L32" s="405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406"/>
      <c r="I33" s="406"/>
      <c r="J33" s="405"/>
      <c r="K33" s="405"/>
      <c r="L33" s="405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406"/>
      <c r="I34" s="406"/>
      <c r="J34" s="405"/>
      <c r="K34" s="405"/>
      <c r="L34" s="405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406"/>
      <c r="I35" s="406"/>
      <c r="J35" s="405"/>
      <c r="K35" s="405"/>
      <c r="L35" s="405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406"/>
      <c r="I36" s="406"/>
      <c r="J36" s="405"/>
      <c r="K36" s="405"/>
      <c r="L36" s="405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409"/>
      <c r="I37" s="409"/>
      <c r="J37" s="408"/>
      <c r="K37" s="408"/>
      <c r="L37" s="408"/>
      <c r="M37" s="509"/>
      <c r="N37" s="5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6:E36"/>
    <mergeCell ref="H36:I36"/>
    <mergeCell ref="C35:E35"/>
    <mergeCell ref="H35:I35"/>
    <mergeCell ref="C34:E34"/>
    <mergeCell ref="H34:I34"/>
    <mergeCell ref="K39:L39"/>
    <mergeCell ref="M39:N39"/>
    <mergeCell ref="J36:L36"/>
    <mergeCell ref="M36:N36"/>
    <mergeCell ref="J37:L37"/>
    <mergeCell ref="M37:N37"/>
    <mergeCell ref="C37:E37"/>
    <mergeCell ref="H37:I37"/>
    <mergeCell ref="J29:L29"/>
    <mergeCell ref="M29:N29"/>
    <mergeCell ref="C32:E32"/>
    <mergeCell ref="H32:I32"/>
    <mergeCell ref="C33:E33"/>
    <mergeCell ref="H33:I33"/>
    <mergeCell ref="C31:E31"/>
    <mergeCell ref="H31:I31"/>
    <mergeCell ref="C29:E29"/>
    <mergeCell ref="H29:I29"/>
    <mergeCell ref="C30:E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E27"/>
    <mergeCell ref="H27:I27"/>
    <mergeCell ref="J27:L27"/>
    <mergeCell ref="M27:N27"/>
    <mergeCell ref="C28:E28"/>
    <mergeCell ref="H28:I28"/>
    <mergeCell ref="J28:L28"/>
    <mergeCell ref="M28:N28"/>
    <mergeCell ref="C25:E25"/>
    <mergeCell ref="H25:I25"/>
    <mergeCell ref="J25:L25"/>
    <mergeCell ref="M25:N25"/>
    <mergeCell ref="C26:E26"/>
    <mergeCell ref="H26:I26"/>
    <mergeCell ref="J26:L26"/>
    <mergeCell ref="M26:N26"/>
    <mergeCell ref="C23:E23"/>
    <mergeCell ref="H23:I23"/>
    <mergeCell ref="J23:L23"/>
    <mergeCell ref="M23:N23"/>
    <mergeCell ref="C24:E24"/>
    <mergeCell ref="H24:I24"/>
    <mergeCell ref="J24:L24"/>
    <mergeCell ref="M24:N24"/>
    <mergeCell ref="C21:E21"/>
    <mergeCell ref="H21:I21"/>
    <mergeCell ref="J21:L21"/>
    <mergeCell ref="M21:N21"/>
    <mergeCell ref="C22:E22"/>
    <mergeCell ref="H22:I22"/>
    <mergeCell ref="J22:L22"/>
    <mergeCell ref="M22:N22"/>
    <mergeCell ref="C19:E19"/>
    <mergeCell ref="H19:I19"/>
    <mergeCell ref="J19:L19"/>
    <mergeCell ref="M19:N19"/>
    <mergeCell ref="C20:E20"/>
    <mergeCell ref="H20:I20"/>
    <mergeCell ref="J20:L20"/>
    <mergeCell ref="M20:N20"/>
    <mergeCell ref="C17:E17"/>
    <mergeCell ref="H17:I17"/>
    <mergeCell ref="J17:L17"/>
    <mergeCell ref="M17:N17"/>
    <mergeCell ref="C18:E18"/>
    <mergeCell ref="H18:I18"/>
    <mergeCell ref="J18:L18"/>
    <mergeCell ref="M18:N18"/>
    <mergeCell ref="C15:E15"/>
    <mergeCell ref="H15:I15"/>
    <mergeCell ref="J15:L15"/>
    <mergeCell ref="M15:N15"/>
    <mergeCell ref="C16:E16"/>
    <mergeCell ref="H16:I16"/>
    <mergeCell ref="J16:L16"/>
    <mergeCell ref="M16:N16"/>
    <mergeCell ref="M13:N13"/>
    <mergeCell ref="C14:E14"/>
    <mergeCell ref="H14:I14"/>
    <mergeCell ref="J14:L14"/>
    <mergeCell ref="M14:N14"/>
    <mergeCell ref="C13:E13"/>
    <mergeCell ref="H13:I13"/>
    <mergeCell ref="J13:L13"/>
    <mergeCell ref="C12:E12"/>
    <mergeCell ref="H12:I12"/>
    <mergeCell ref="J12:L12"/>
    <mergeCell ref="M12:N12"/>
    <mergeCell ref="C11:E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E9"/>
    <mergeCell ref="H9:I9"/>
    <mergeCell ref="J9:L9"/>
    <mergeCell ref="C10:E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812DEA1A-1071-4CA6-BDB8-CB0CA7D38F62}">
      <formula1>CoatingsMinus</formula1>
    </dataValidation>
    <dataValidation type="list" errorStyle="warning" allowBlank="1" showInputMessage="1" showErrorMessage="1" errorTitle="Unlisted" error="You have entered an unlisted item.  Please make sure the item entered is correct." sqref="F11:F37" xr:uid="{9E8B85B2-4194-419A-B9B2-8CC14AA60A64}">
      <formula1>ColdForm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3356-752F-473C-B378-7C26AFDFCE9C}">
  <sheetPr codeName="Sheet70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346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4"/>
      <c r="F9" s="69" t="s">
        <v>272</v>
      </c>
      <c r="G9" s="67" t="s">
        <v>271</v>
      </c>
      <c r="H9" s="422" t="s">
        <v>242</v>
      </c>
      <c r="I9" s="424"/>
      <c r="J9" s="422" t="s">
        <v>241</v>
      </c>
      <c r="K9" s="423"/>
      <c r="L9" s="424"/>
      <c r="M9" s="422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129"/>
      <c r="G10" s="71"/>
      <c r="H10" s="413"/>
      <c r="I10" s="413"/>
      <c r="J10" s="413"/>
      <c r="K10" s="413"/>
      <c r="L10" s="413"/>
      <c r="M10" s="413"/>
      <c r="N10" s="415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406"/>
      <c r="I11" s="406"/>
      <c r="J11" s="405"/>
      <c r="K11" s="405"/>
      <c r="L11" s="405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406"/>
      <c r="I12" s="406"/>
      <c r="J12" s="405"/>
      <c r="K12" s="405"/>
      <c r="L12" s="405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406"/>
      <c r="I13" s="406"/>
      <c r="J13" s="405"/>
      <c r="K13" s="405"/>
      <c r="L13" s="405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406"/>
      <c r="I14" s="406"/>
      <c r="J14" s="405"/>
      <c r="K14" s="405"/>
      <c r="L14" s="405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406"/>
      <c r="I15" s="406"/>
      <c r="J15" s="405"/>
      <c r="K15" s="405"/>
      <c r="L15" s="405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406"/>
      <c r="I16" s="406"/>
      <c r="J16" s="405"/>
      <c r="K16" s="405"/>
      <c r="L16" s="405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406"/>
      <c r="I17" s="406"/>
      <c r="J17" s="405"/>
      <c r="K17" s="405"/>
      <c r="L17" s="405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406"/>
      <c r="I18" s="406"/>
      <c r="J18" s="405"/>
      <c r="K18" s="405"/>
      <c r="L18" s="405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406"/>
      <c r="I19" s="406"/>
      <c r="J19" s="405"/>
      <c r="K19" s="405"/>
      <c r="L19" s="405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406"/>
      <c r="I20" s="406"/>
      <c r="J20" s="405"/>
      <c r="K20" s="405"/>
      <c r="L20" s="405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406"/>
      <c r="I21" s="406"/>
      <c r="J21" s="405"/>
      <c r="K21" s="405"/>
      <c r="L21" s="405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406"/>
      <c r="I22" s="406"/>
      <c r="J22" s="405"/>
      <c r="K22" s="405"/>
      <c r="L22" s="405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406"/>
      <c r="I23" s="406"/>
      <c r="J23" s="405"/>
      <c r="K23" s="405"/>
      <c r="L23" s="405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406"/>
      <c r="I24" s="406"/>
      <c r="J24" s="405"/>
      <c r="K24" s="405"/>
      <c r="L24" s="405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406"/>
      <c r="I25" s="406"/>
      <c r="J25" s="405"/>
      <c r="K25" s="405"/>
      <c r="L25" s="405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406"/>
      <c r="I26" s="406"/>
      <c r="J26" s="405"/>
      <c r="K26" s="405"/>
      <c r="L26" s="405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406"/>
      <c r="I27" s="406"/>
      <c r="J27" s="405"/>
      <c r="K27" s="405"/>
      <c r="L27" s="405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406"/>
      <c r="I28" s="406"/>
      <c r="J28" s="405"/>
      <c r="K28" s="405"/>
      <c r="L28" s="405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406"/>
      <c r="I29" s="406"/>
      <c r="J29" s="405"/>
      <c r="K29" s="405"/>
      <c r="L29" s="405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406"/>
      <c r="I30" s="406"/>
      <c r="J30" s="405"/>
      <c r="K30" s="405"/>
      <c r="L30" s="405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406"/>
      <c r="I31" s="406"/>
      <c r="J31" s="405"/>
      <c r="K31" s="405"/>
      <c r="L31" s="405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406"/>
      <c r="I32" s="406"/>
      <c r="J32" s="405"/>
      <c r="K32" s="405"/>
      <c r="L32" s="405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406"/>
      <c r="I33" s="406"/>
      <c r="J33" s="405"/>
      <c r="K33" s="405"/>
      <c r="L33" s="405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406"/>
      <c r="I34" s="406"/>
      <c r="J34" s="405"/>
      <c r="K34" s="405"/>
      <c r="L34" s="405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406"/>
      <c r="I35" s="406"/>
      <c r="J35" s="405"/>
      <c r="K35" s="405"/>
      <c r="L35" s="405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406"/>
      <c r="I36" s="406"/>
      <c r="J36" s="405"/>
      <c r="K36" s="405"/>
      <c r="L36" s="405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409"/>
      <c r="I37" s="409"/>
      <c r="J37" s="408"/>
      <c r="K37" s="408"/>
      <c r="L37" s="408"/>
      <c r="M37" s="509"/>
      <c r="N37" s="5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6:E36"/>
    <mergeCell ref="H36:I36"/>
    <mergeCell ref="C35:E35"/>
    <mergeCell ref="H35:I35"/>
    <mergeCell ref="C34:E34"/>
    <mergeCell ref="H34:I34"/>
    <mergeCell ref="K39:L39"/>
    <mergeCell ref="M39:N39"/>
    <mergeCell ref="J36:L36"/>
    <mergeCell ref="M36:N36"/>
    <mergeCell ref="J37:L37"/>
    <mergeCell ref="M37:N37"/>
    <mergeCell ref="C37:E37"/>
    <mergeCell ref="H37:I37"/>
    <mergeCell ref="J29:L29"/>
    <mergeCell ref="M29:N29"/>
    <mergeCell ref="C32:E32"/>
    <mergeCell ref="H32:I32"/>
    <mergeCell ref="C33:E33"/>
    <mergeCell ref="H33:I33"/>
    <mergeCell ref="C31:E31"/>
    <mergeCell ref="H31:I31"/>
    <mergeCell ref="C29:E29"/>
    <mergeCell ref="H29:I29"/>
    <mergeCell ref="C30:E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E27"/>
    <mergeCell ref="H27:I27"/>
    <mergeCell ref="J27:L27"/>
    <mergeCell ref="M27:N27"/>
    <mergeCell ref="C28:E28"/>
    <mergeCell ref="H28:I28"/>
    <mergeCell ref="J28:L28"/>
    <mergeCell ref="M28:N28"/>
    <mergeCell ref="C25:E25"/>
    <mergeCell ref="H25:I25"/>
    <mergeCell ref="J25:L25"/>
    <mergeCell ref="M25:N25"/>
    <mergeCell ref="C26:E26"/>
    <mergeCell ref="H26:I26"/>
    <mergeCell ref="J26:L26"/>
    <mergeCell ref="M26:N26"/>
    <mergeCell ref="C23:E23"/>
    <mergeCell ref="H23:I23"/>
    <mergeCell ref="J23:L23"/>
    <mergeCell ref="M23:N23"/>
    <mergeCell ref="C24:E24"/>
    <mergeCell ref="H24:I24"/>
    <mergeCell ref="J24:L24"/>
    <mergeCell ref="M24:N24"/>
    <mergeCell ref="C21:E21"/>
    <mergeCell ref="H21:I21"/>
    <mergeCell ref="J21:L21"/>
    <mergeCell ref="M21:N21"/>
    <mergeCell ref="C22:E22"/>
    <mergeCell ref="H22:I22"/>
    <mergeCell ref="J22:L22"/>
    <mergeCell ref="M22:N22"/>
    <mergeCell ref="C19:E19"/>
    <mergeCell ref="H19:I19"/>
    <mergeCell ref="J19:L19"/>
    <mergeCell ref="M19:N19"/>
    <mergeCell ref="C20:E20"/>
    <mergeCell ref="H20:I20"/>
    <mergeCell ref="J20:L20"/>
    <mergeCell ref="M20:N20"/>
    <mergeCell ref="C17:E17"/>
    <mergeCell ref="H17:I17"/>
    <mergeCell ref="J17:L17"/>
    <mergeCell ref="M17:N17"/>
    <mergeCell ref="C18:E18"/>
    <mergeCell ref="H18:I18"/>
    <mergeCell ref="J18:L18"/>
    <mergeCell ref="M18:N18"/>
    <mergeCell ref="C15:E15"/>
    <mergeCell ref="H15:I15"/>
    <mergeCell ref="J15:L15"/>
    <mergeCell ref="M15:N15"/>
    <mergeCell ref="C16:E16"/>
    <mergeCell ref="H16:I16"/>
    <mergeCell ref="J16:L16"/>
    <mergeCell ref="M16:N16"/>
    <mergeCell ref="M13:N13"/>
    <mergeCell ref="C14:E14"/>
    <mergeCell ref="H14:I14"/>
    <mergeCell ref="J14:L14"/>
    <mergeCell ref="M14:N14"/>
    <mergeCell ref="C13:E13"/>
    <mergeCell ref="H13:I13"/>
    <mergeCell ref="J13:L13"/>
    <mergeCell ref="C12:E12"/>
    <mergeCell ref="H12:I12"/>
    <mergeCell ref="J12:L12"/>
    <mergeCell ref="M12:N12"/>
    <mergeCell ref="C11:E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E9"/>
    <mergeCell ref="H9:I9"/>
    <mergeCell ref="J9:L9"/>
    <mergeCell ref="C10:E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8A919752-30FF-4052-B817-8044575C7DB3}">
      <formula1>PGColor</formula1>
    </dataValidation>
    <dataValidation type="list" errorStyle="warning" allowBlank="1" showInputMessage="1" showErrorMessage="1" errorTitle="Unlisted" error="You have entered an unlisted item.  Please make sure the item entered is correct." sqref="F11:F37" xr:uid="{9997AC76-3E10-4270-8296-197F14F24878}">
      <formula1>Cees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533D-CB6B-440D-9377-A680B31305C7}">
  <sheetPr codeName="Sheet71"/>
  <dimension ref="A1:P39"/>
  <sheetViews>
    <sheetView workbookViewId="0">
      <selection activeCell="M2" sqref="M2:N2"/>
    </sheetView>
  </sheetViews>
  <sheetFormatPr defaultRowHeight="13.2" x14ac:dyDescent="0.25"/>
  <cols>
    <col min="1" max="4" width="9.77734375" customWidth="1"/>
    <col min="5" max="5" width="9.77734375" style="105" customWidth="1"/>
    <col min="6" max="14" width="9.77734375" customWidth="1"/>
  </cols>
  <sheetData>
    <row r="1" spans="1:16" ht="19.5" customHeight="1" x14ac:dyDescent="0.25">
      <c r="A1" s="83"/>
      <c r="B1" s="84"/>
      <c r="C1" s="84"/>
      <c r="D1" s="84"/>
      <c r="E1" s="101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102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102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102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102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103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345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67" t="s">
        <v>239</v>
      </c>
      <c r="C9" s="422" t="s">
        <v>240</v>
      </c>
      <c r="D9" s="423"/>
      <c r="E9" s="104" t="s">
        <v>273</v>
      </c>
      <c r="F9" s="38" t="s">
        <v>272</v>
      </c>
      <c r="G9" s="38" t="s">
        <v>264</v>
      </c>
      <c r="H9" s="422" t="s">
        <v>242</v>
      </c>
      <c r="I9" s="424"/>
      <c r="J9" s="107" t="s">
        <v>271</v>
      </c>
      <c r="K9" s="421" t="s">
        <v>241</v>
      </c>
      <c r="L9" s="417"/>
      <c r="M9" s="423" t="s">
        <v>327</v>
      </c>
      <c r="N9" s="424"/>
    </row>
    <row r="10" spans="1:16" ht="13.5" customHeight="1" x14ac:dyDescent="0.25">
      <c r="A10" s="106"/>
      <c r="B10" s="70"/>
      <c r="C10" s="513"/>
      <c r="D10" s="513"/>
      <c r="E10" s="70"/>
      <c r="F10" s="70"/>
      <c r="G10" s="70"/>
      <c r="H10" s="513"/>
      <c r="I10" s="513"/>
      <c r="J10" s="70"/>
      <c r="K10" s="513"/>
      <c r="L10" s="513"/>
      <c r="M10" s="511"/>
      <c r="N10" s="512"/>
    </row>
    <row r="11" spans="1:16" ht="13.5" customHeight="1" x14ac:dyDescent="0.25">
      <c r="A11" s="142" t="str">
        <f>"@Data"</f>
        <v>@Data</v>
      </c>
      <c r="B11" s="148"/>
      <c r="C11" s="514"/>
      <c r="D11" s="443"/>
      <c r="E11" s="149"/>
      <c r="F11" s="174"/>
      <c r="G11" s="174"/>
      <c r="H11" s="516"/>
      <c r="I11" s="517"/>
      <c r="J11" s="148"/>
      <c r="K11" s="516"/>
      <c r="L11" s="516"/>
      <c r="M11" s="518"/>
      <c r="N11" s="519"/>
    </row>
    <row r="12" spans="1:16" ht="13.5" customHeight="1" x14ac:dyDescent="0.25">
      <c r="A12" s="142"/>
      <c r="B12" s="148"/>
      <c r="C12" s="514"/>
      <c r="D12" s="515"/>
      <c r="E12" s="149"/>
      <c r="F12" s="174"/>
      <c r="G12" s="174"/>
      <c r="H12" s="516"/>
      <c r="I12" s="517"/>
      <c r="J12" s="148"/>
      <c r="K12" s="516"/>
      <c r="L12" s="516"/>
      <c r="M12" s="518"/>
      <c r="N12" s="519"/>
    </row>
    <row r="13" spans="1:16" ht="13.5" customHeight="1" x14ac:dyDescent="0.25">
      <c r="A13" s="142"/>
      <c r="B13" s="148"/>
      <c r="C13" s="514"/>
      <c r="D13" s="515"/>
      <c r="E13" s="149"/>
      <c r="F13" s="174"/>
      <c r="G13" s="174"/>
      <c r="H13" s="516"/>
      <c r="I13" s="517"/>
      <c r="J13" s="148"/>
      <c r="K13" s="516"/>
      <c r="L13" s="516"/>
      <c r="M13" s="518"/>
      <c r="N13" s="519"/>
    </row>
    <row r="14" spans="1:16" ht="13.5" customHeight="1" x14ac:dyDescent="0.25">
      <c r="A14" s="142"/>
      <c r="B14" s="148"/>
      <c r="C14" s="514"/>
      <c r="D14" s="515"/>
      <c r="E14" s="149"/>
      <c r="F14" s="174"/>
      <c r="G14" s="174"/>
      <c r="H14" s="516"/>
      <c r="I14" s="517"/>
      <c r="J14" s="148"/>
      <c r="K14" s="516"/>
      <c r="L14" s="516"/>
      <c r="M14" s="518"/>
      <c r="N14" s="519"/>
    </row>
    <row r="15" spans="1:16" ht="13.5" customHeight="1" x14ac:dyDescent="0.25">
      <c r="A15" s="142"/>
      <c r="B15" s="148"/>
      <c r="C15" s="514"/>
      <c r="D15" s="515"/>
      <c r="E15" s="149"/>
      <c r="F15" s="174"/>
      <c r="G15" s="174"/>
      <c r="H15" s="516"/>
      <c r="I15" s="517"/>
      <c r="J15" s="148"/>
      <c r="K15" s="516"/>
      <c r="L15" s="516"/>
      <c r="M15" s="518"/>
      <c r="N15" s="519"/>
    </row>
    <row r="16" spans="1:16" ht="13.5" customHeight="1" x14ac:dyDescent="0.25">
      <c r="A16" s="142"/>
      <c r="B16" s="148"/>
      <c r="C16" s="514"/>
      <c r="D16" s="515"/>
      <c r="E16" s="149"/>
      <c r="F16" s="174"/>
      <c r="G16" s="174"/>
      <c r="H16" s="516"/>
      <c r="I16" s="517"/>
      <c r="J16" s="148"/>
      <c r="K16" s="516"/>
      <c r="L16" s="516"/>
      <c r="M16" s="518"/>
      <c r="N16" s="519"/>
    </row>
    <row r="17" spans="1:14" ht="13.5" customHeight="1" x14ac:dyDescent="0.25">
      <c r="A17" s="142"/>
      <c r="B17" s="148"/>
      <c r="C17" s="514"/>
      <c r="D17" s="515"/>
      <c r="E17" s="149"/>
      <c r="F17" s="174"/>
      <c r="G17" s="174"/>
      <c r="H17" s="516"/>
      <c r="I17" s="517"/>
      <c r="J17" s="148"/>
      <c r="K17" s="516"/>
      <c r="L17" s="516"/>
      <c r="M17" s="518"/>
      <c r="N17" s="519"/>
    </row>
    <row r="18" spans="1:14" ht="13.5" customHeight="1" x14ac:dyDescent="0.25">
      <c r="A18" s="142"/>
      <c r="B18" s="148"/>
      <c r="C18" s="514"/>
      <c r="D18" s="515"/>
      <c r="E18" s="149"/>
      <c r="F18" s="174"/>
      <c r="G18" s="174"/>
      <c r="H18" s="516"/>
      <c r="I18" s="517"/>
      <c r="J18" s="148"/>
      <c r="K18" s="516"/>
      <c r="L18" s="516"/>
      <c r="M18" s="518"/>
      <c r="N18" s="519"/>
    </row>
    <row r="19" spans="1:14" ht="13.5" customHeight="1" x14ac:dyDescent="0.25">
      <c r="A19" s="142"/>
      <c r="B19" s="148"/>
      <c r="C19" s="514"/>
      <c r="D19" s="515"/>
      <c r="E19" s="149"/>
      <c r="F19" s="174"/>
      <c r="G19" s="174"/>
      <c r="H19" s="516"/>
      <c r="I19" s="517"/>
      <c r="J19" s="148"/>
      <c r="K19" s="516"/>
      <c r="L19" s="516"/>
      <c r="M19" s="518"/>
      <c r="N19" s="519"/>
    </row>
    <row r="20" spans="1:14" ht="13.5" customHeight="1" x14ac:dyDescent="0.25">
      <c r="A20" s="142"/>
      <c r="B20" s="148"/>
      <c r="C20" s="514"/>
      <c r="D20" s="515"/>
      <c r="E20" s="149"/>
      <c r="F20" s="174"/>
      <c r="G20" s="174"/>
      <c r="H20" s="516"/>
      <c r="I20" s="517"/>
      <c r="J20" s="148"/>
      <c r="K20" s="516"/>
      <c r="L20" s="516"/>
      <c r="M20" s="518"/>
      <c r="N20" s="519"/>
    </row>
    <row r="21" spans="1:14" s="2" customFormat="1" ht="13.5" customHeight="1" x14ac:dyDescent="0.25">
      <c r="A21" s="142"/>
      <c r="B21" s="148"/>
      <c r="C21" s="514"/>
      <c r="D21" s="515"/>
      <c r="E21" s="149"/>
      <c r="F21" s="174"/>
      <c r="G21" s="174"/>
      <c r="H21" s="516"/>
      <c r="I21" s="517"/>
      <c r="J21" s="148"/>
      <c r="K21" s="516"/>
      <c r="L21" s="516"/>
      <c r="M21" s="518"/>
      <c r="N21" s="519"/>
    </row>
    <row r="22" spans="1:14" ht="13.5" customHeight="1" x14ac:dyDescent="0.25">
      <c r="A22" s="142"/>
      <c r="B22" s="148"/>
      <c r="C22" s="514"/>
      <c r="D22" s="515"/>
      <c r="E22" s="149"/>
      <c r="F22" s="174"/>
      <c r="G22" s="174"/>
      <c r="H22" s="516"/>
      <c r="I22" s="517"/>
      <c r="J22" s="148"/>
      <c r="K22" s="516"/>
      <c r="L22" s="516"/>
      <c r="M22" s="518"/>
      <c r="N22" s="519"/>
    </row>
    <row r="23" spans="1:14" ht="13.5" customHeight="1" x14ac:dyDescent="0.25">
      <c r="A23" s="142"/>
      <c r="B23" s="148"/>
      <c r="C23" s="514"/>
      <c r="D23" s="515"/>
      <c r="E23" s="149"/>
      <c r="F23" s="174"/>
      <c r="G23" s="174"/>
      <c r="H23" s="516"/>
      <c r="I23" s="517"/>
      <c r="J23" s="148"/>
      <c r="K23" s="516"/>
      <c r="L23" s="516"/>
      <c r="M23" s="518"/>
      <c r="N23" s="519"/>
    </row>
    <row r="24" spans="1:14" ht="13.5" customHeight="1" x14ac:dyDescent="0.25">
      <c r="A24" s="142"/>
      <c r="B24" s="148"/>
      <c r="C24" s="514"/>
      <c r="D24" s="515"/>
      <c r="E24" s="149"/>
      <c r="F24" s="174"/>
      <c r="G24" s="174"/>
      <c r="H24" s="516"/>
      <c r="I24" s="517"/>
      <c r="J24" s="148"/>
      <c r="K24" s="516"/>
      <c r="L24" s="516"/>
      <c r="M24" s="518"/>
      <c r="N24" s="519"/>
    </row>
    <row r="25" spans="1:14" ht="13.5" customHeight="1" x14ac:dyDescent="0.25">
      <c r="A25" s="142"/>
      <c r="B25" s="148"/>
      <c r="C25" s="514"/>
      <c r="D25" s="515"/>
      <c r="E25" s="149"/>
      <c r="F25" s="174"/>
      <c r="G25" s="174"/>
      <c r="H25" s="516"/>
      <c r="I25" s="517"/>
      <c r="J25" s="148"/>
      <c r="K25" s="516"/>
      <c r="L25" s="516"/>
      <c r="M25" s="518"/>
      <c r="N25" s="519"/>
    </row>
    <row r="26" spans="1:14" ht="13.5" customHeight="1" x14ac:dyDescent="0.25">
      <c r="A26" s="142"/>
      <c r="B26" s="148"/>
      <c r="C26" s="514"/>
      <c r="D26" s="515"/>
      <c r="E26" s="149"/>
      <c r="F26" s="174"/>
      <c r="G26" s="174"/>
      <c r="H26" s="516"/>
      <c r="I26" s="517"/>
      <c r="J26" s="148"/>
      <c r="K26" s="516"/>
      <c r="L26" s="516"/>
      <c r="M26" s="518"/>
      <c r="N26" s="519"/>
    </row>
    <row r="27" spans="1:14" ht="13.5" customHeight="1" x14ac:dyDescent="0.25">
      <c r="A27" s="142"/>
      <c r="B27" s="148"/>
      <c r="C27" s="514"/>
      <c r="D27" s="515"/>
      <c r="E27" s="149"/>
      <c r="F27" s="174"/>
      <c r="G27" s="174"/>
      <c r="H27" s="516"/>
      <c r="I27" s="517"/>
      <c r="J27" s="148"/>
      <c r="K27" s="516"/>
      <c r="L27" s="516"/>
      <c r="M27" s="518"/>
      <c r="N27" s="519"/>
    </row>
    <row r="28" spans="1:14" ht="13.5" customHeight="1" x14ac:dyDescent="0.25">
      <c r="A28" s="142"/>
      <c r="B28" s="148"/>
      <c r="C28" s="514"/>
      <c r="D28" s="515"/>
      <c r="E28" s="149"/>
      <c r="F28" s="174"/>
      <c r="G28" s="174"/>
      <c r="H28" s="516"/>
      <c r="I28" s="517"/>
      <c r="J28" s="148"/>
      <c r="K28" s="516"/>
      <c r="L28" s="516"/>
      <c r="M28" s="518"/>
      <c r="N28" s="519"/>
    </row>
    <row r="29" spans="1:14" ht="13.5" customHeight="1" x14ac:dyDescent="0.25">
      <c r="A29" s="142"/>
      <c r="B29" s="148"/>
      <c r="C29" s="514"/>
      <c r="D29" s="515"/>
      <c r="E29" s="149"/>
      <c r="F29" s="174"/>
      <c r="G29" s="174"/>
      <c r="H29" s="516"/>
      <c r="I29" s="517"/>
      <c r="J29" s="148"/>
      <c r="K29" s="516"/>
      <c r="L29" s="516"/>
      <c r="M29" s="518"/>
      <c r="N29" s="519"/>
    </row>
    <row r="30" spans="1:14" ht="13.5" customHeight="1" x14ac:dyDescent="0.25">
      <c r="A30" s="142"/>
      <c r="B30" s="148"/>
      <c r="C30" s="514"/>
      <c r="D30" s="515"/>
      <c r="E30" s="149"/>
      <c r="F30" s="174"/>
      <c r="G30" s="174"/>
      <c r="H30" s="516"/>
      <c r="I30" s="517"/>
      <c r="J30" s="148"/>
      <c r="K30" s="516"/>
      <c r="L30" s="516"/>
      <c r="M30" s="518"/>
      <c r="N30" s="519"/>
    </row>
    <row r="31" spans="1:14" ht="13.5" customHeight="1" x14ac:dyDescent="0.25">
      <c r="A31" s="142"/>
      <c r="B31" s="148"/>
      <c r="C31" s="514"/>
      <c r="D31" s="515"/>
      <c r="E31" s="149"/>
      <c r="F31" s="174"/>
      <c r="G31" s="174"/>
      <c r="H31" s="516"/>
      <c r="I31" s="517"/>
      <c r="J31" s="148"/>
      <c r="K31" s="516"/>
      <c r="L31" s="516"/>
      <c r="M31" s="518"/>
      <c r="N31" s="519"/>
    </row>
    <row r="32" spans="1:14" ht="13.5" customHeight="1" x14ac:dyDescent="0.25">
      <c r="A32" s="142"/>
      <c r="B32" s="148"/>
      <c r="C32" s="514"/>
      <c r="D32" s="515"/>
      <c r="E32" s="149"/>
      <c r="F32" s="174"/>
      <c r="G32" s="174"/>
      <c r="H32" s="516"/>
      <c r="I32" s="517"/>
      <c r="J32" s="148"/>
      <c r="K32" s="516"/>
      <c r="L32" s="516"/>
      <c r="M32" s="518"/>
      <c r="N32" s="519"/>
    </row>
    <row r="33" spans="1:14" ht="13.5" customHeight="1" x14ac:dyDescent="0.25">
      <c r="A33" s="142"/>
      <c r="B33" s="148"/>
      <c r="C33" s="514"/>
      <c r="D33" s="515"/>
      <c r="E33" s="149"/>
      <c r="F33" s="174"/>
      <c r="G33" s="174"/>
      <c r="H33" s="516"/>
      <c r="I33" s="517"/>
      <c r="J33" s="148"/>
      <c r="K33" s="516"/>
      <c r="L33" s="516"/>
      <c r="M33" s="518"/>
      <c r="N33" s="519"/>
    </row>
    <row r="34" spans="1:14" ht="13.5" customHeight="1" x14ac:dyDescent="0.25">
      <c r="A34" s="142"/>
      <c r="B34" s="148"/>
      <c r="C34" s="514"/>
      <c r="D34" s="515"/>
      <c r="E34" s="149"/>
      <c r="F34" s="174"/>
      <c r="G34" s="174"/>
      <c r="H34" s="516"/>
      <c r="I34" s="517"/>
      <c r="J34" s="148"/>
      <c r="K34" s="516"/>
      <c r="L34" s="516"/>
      <c r="M34" s="518"/>
      <c r="N34" s="519"/>
    </row>
    <row r="35" spans="1:14" ht="13.5" customHeight="1" x14ac:dyDescent="0.25">
      <c r="A35" s="142"/>
      <c r="B35" s="148"/>
      <c r="C35" s="514"/>
      <c r="D35" s="515"/>
      <c r="E35" s="149"/>
      <c r="F35" s="174"/>
      <c r="G35" s="174"/>
      <c r="H35" s="516"/>
      <c r="I35" s="517"/>
      <c r="J35" s="148"/>
      <c r="K35" s="516"/>
      <c r="L35" s="516"/>
      <c r="M35" s="518"/>
      <c r="N35" s="519"/>
    </row>
    <row r="36" spans="1:14" ht="13.5" customHeight="1" x14ac:dyDescent="0.25">
      <c r="A36" s="142"/>
      <c r="B36" s="148"/>
      <c r="C36" s="514"/>
      <c r="D36" s="515"/>
      <c r="E36" s="149"/>
      <c r="F36" s="174"/>
      <c r="G36" s="174"/>
      <c r="H36" s="516"/>
      <c r="I36" s="517"/>
      <c r="J36" s="148"/>
      <c r="K36" s="516"/>
      <c r="L36" s="516"/>
      <c r="M36" s="518"/>
      <c r="N36" s="519"/>
    </row>
    <row r="37" spans="1:14" ht="13.5" customHeight="1" thickBot="1" x14ac:dyDescent="0.3">
      <c r="A37" s="144"/>
      <c r="B37" s="150"/>
      <c r="C37" s="523"/>
      <c r="D37" s="524"/>
      <c r="E37" s="151"/>
      <c r="F37" s="175"/>
      <c r="G37" s="175"/>
      <c r="H37" s="520"/>
      <c r="I37" s="525"/>
      <c r="J37" s="150"/>
      <c r="K37" s="520"/>
      <c r="L37" s="520"/>
      <c r="M37" s="521"/>
      <c r="N37" s="522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K35:L35"/>
    <mergeCell ref="M35:N35"/>
    <mergeCell ref="C36:D36"/>
    <mergeCell ref="H36:I36"/>
    <mergeCell ref="C35:D35"/>
    <mergeCell ref="H35:I35"/>
    <mergeCell ref="C34:D34"/>
    <mergeCell ref="H34:I34"/>
    <mergeCell ref="K39:L39"/>
    <mergeCell ref="M39:N39"/>
    <mergeCell ref="K36:L36"/>
    <mergeCell ref="M36:N36"/>
    <mergeCell ref="K37:L37"/>
    <mergeCell ref="M37:N37"/>
    <mergeCell ref="C37:D37"/>
    <mergeCell ref="H37:I37"/>
    <mergeCell ref="K29:L29"/>
    <mergeCell ref="M29:N29"/>
    <mergeCell ref="C32:D32"/>
    <mergeCell ref="H32:I32"/>
    <mergeCell ref="C33:D33"/>
    <mergeCell ref="H33:I33"/>
    <mergeCell ref="C31:D31"/>
    <mergeCell ref="H31:I31"/>
    <mergeCell ref="C29:D29"/>
    <mergeCell ref="H29:I29"/>
    <mergeCell ref="C30:D30"/>
    <mergeCell ref="H30:I30"/>
    <mergeCell ref="K34:L34"/>
    <mergeCell ref="M34:N34"/>
    <mergeCell ref="K31:L31"/>
    <mergeCell ref="M31:N31"/>
    <mergeCell ref="K32:L32"/>
    <mergeCell ref="M32:N32"/>
    <mergeCell ref="K33:L33"/>
    <mergeCell ref="M33:N33"/>
    <mergeCell ref="K30:L30"/>
    <mergeCell ref="M30:N30"/>
    <mergeCell ref="C27:D27"/>
    <mergeCell ref="H27:I27"/>
    <mergeCell ref="K27:L27"/>
    <mergeCell ref="M27:N27"/>
    <mergeCell ref="C28:D28"/>
    <mergeCell ref="H28:I28"/>
    <mergeCell ref="K28:L28"/>
    <mergeCell ref="M28:N28"/>
    <mergeCell ref="C25:D25"/>
    <mergeCell ref="H25:I25"/>
    <mergeCell ref="K25:L25"/>
    <mergeCell ref="M25:N25"/>
    <mergeCell ref="C26:D26"/>
    <mergeCell ref="H26:I26"/>
    <mergeCell ref="K26:L26"/>
    <mergeCell ref="M26:N26"/>
    <mergeCell ref="C23:D23"/>
    <mergeCell ref="H23:I23"/>
    <mergeCell ref="K23:L23"/>
    <mergeCell ref="M23:N23"/>
    <mergeCell ref="C24:D24"/>
    <mergeCell ref="H24:I24"/>
    <mergeCell ref="K24:L24"/>
    <mergeCell ref="M24:N24"/>
    <mergeCell ref="C21:D21"/>
    <mergeCell ref="H21:I21"/>
    <mergeCell ref="K21:L21"/>
    <mergeCell ref="M21:N21"/>
    <mergeCell ref="C22:D22"/>
    <mergeCell ref="H22:I22"/>
    <mergeCell ref="K22:L22"/>
    <mergeCell ref="M22:N22"/>
    <mergeCell ref="C19:D19"/>
    <mergeCell ref="H19:I19"/>
    <mergeCell ref="K19:L19"/>
    <mergeCell ref="M19:N19"/>
    <mergeCell ref="C20:D20"/>
    <mergeCell ref="H20:I20"/>
    <mergeCell ref="K20:L20"/>
    <mergeCell ref="M20:N20"/>
    <mergeCell ref="C17:D17"/>
    <mergeCell ref="H17:I17"/>
    <mergeCell ref="K17:L17"/>
    <mergeCell ref="M17:N17"/>
    <mergeCell ref="C18:D18"/>
    <mergeCell ref="H18:I18"/>
    <mergeCell ref="K18:L18"/>
    <mergeCell ref="M18:N18"/>
    <mergeCell ref="C15:D15"/>
    <mergeCell ref="H15:I15"/>
    <mergeCell ref="K15:L15"/>
    <mergeCell ref="M15:N15"/>
    <mergeCell ref="C16:D16"/>
    <mergeCell ref="H16:I16"/>
    <mergeCell ref="K16:L16"/>
    <mergeCell ref="M16:N16"/>
    <mergeCell ref="M13:N13"/>
    <mergeCell ref="C14:D14"/>
    <mergeCell ref="H14:I14"/>
    <mergeCell ref="K14:L14"/>
    <mergeCell ref="M14:N14"/>
    <mergeCell ref="C13:D13"/>
    <mergeCell ref="H13:I13"/>
    <mergeCell ref="K13:L13"/>
    <mergeCell ref="C12:D12"/>
    <mergeCell ref="H12:I12"/>
    <mergeCell ref="K12:L12"/>
    <mergeCell ref="M12:N12"/>
    <mergeCell ref="C11:D11"/>
    <mergeCell ref="H11:I11"/>
    <mergeCell ref="K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D9"/>
    <mergeCell ref="H9:I9"/>
    <mergeCell ref="K9:L9"/>
    <mergeCell ref="C10:D10"/>
    <mergeCell ref="H10:I10"/>
    <mergeCell ref="K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0AA7AED4-E889-4772-9446-BB0FF59E432F}">
      <formula1>Coatings</formula1>
    </dataValidation>
    <dataValidation type="list" errorStyle="warning" allowBlank="1" showInputMessage="1" showErrorMessage="1" errorTitle="Unlisted" error="You have entered an unlisted item.  Please make sure the item entered is correct." sqref="F11:F37" xr:uid="{CC8C761D-EF25-49AA-BA69-28934BBE7D1F}">
      <formula1>EaveStruts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F99B-C9F3-4CB6-9D24-334893035914}">
  <sheetPr codeName="Sheet72"/>
  <dimension ref="A1:P39"/>
  <sheetViews>
    <sheetView workbookViewId="0">
      <selection activeCell="C11" sqref="C11:E11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344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189" t="s">
        <v>238</v>
      </c>
      <c r="B9" s="189" t="s">
        <v>239</v>
      </c>
      <c r="C9" s="526" t="s">
        <v>240</v>
      </c>
      <c r="D9" s="528"/>
      <c r="E9" s="527"/>
      <c r="F9" s="191" t="s">
        <v>272</v>
      </c>
      <c r="G9" s="190" t="s">
        <v>264</v>
      </c>
      <c r="H9" s="193" t="s">
        <v>271</v>
      </c>
      <c r="I9" s="422" t="s">
        <v>242</v>
      </c>
      <c r="J9" s="424"/>
      <c r="K9" s="526" t="s">
        <v>241</v>
      </c>
      <c r="L9" s="527"/>
      <c r="M9" s="526" t="s">
        <v>327</v>
      </c>
      <c r="N9" s="527"/>
    </row>
    <row r="10" spans="1:16" ht="13.5" customHeight="1" x14ac:dyDescent="0.25">
      <c r="A10" s="162"/>
      <c r="B10" s="163"/>
      <c r="C10" s="529"/>
      <c r="D10" s="529"/>
      <c r="E10" s="529"/>
      <c r="F10" s="192"/>
      <c r="G10" s="163"/>
      <c r="H10" s="161"/>
      <c r="I10" s="461"/>
      <c r="J10" s="531"/>
      <c r="K10" s="461"/>
      <c r="L10" s="531"/>
      <c r="M10" s="529"/>
      <c r="N10" s="530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187"/>
      <c r="I11" s="442"/>
      <c r="J11" s="443"/>
      <c r="K11" s="447"/>
      <c r="L11" s="469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187"/>
      <c r="I12" s="442"/>
      <c r="J12" s="443"/>
      <c r="K12" s="447"/>
      <c r="L12" s="469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187"/>
      <c r="I13" s="442"/>
      <c r="J13" s="443"/>
      <c r="K13" s="447"/>
      <c r="L13" s="469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187"/>
      <c r="I14" s="442"/>
      <c r="J14" s="443"/>
      <c r="K14" s="447"/>
      <c r="L14" s="469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187"/>
      <c r="I15" s="442"/>
      <c r="J15" s="443"/>
      <c r="K15" s="447"/>
      <c r="L15" s="469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187"/>
      <c r="I16" s="442"/>
      <c r="J16" s="443"/>
      <c r="K16" s="447"/>
      <c r="L16" s="469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187"/>
      <c r="I17" s="442"/>
      <c r="J17" s="443"/>
      <c r="K17" s="447"/>
      <c r="L17" s="469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187"/>
      <c r="I18" s="442"/>
      <c r="J18" s="443"/>
      <c r="K18" s="447"/>
      <c r="L18" s="469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187"/>
      <c r="I19" s="442"/>
      <c r="J19" s="443"/>
      <c r="K19" s="447"/>
      <c r="L19" s="469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187"/>
      <c r="I20" s="442"/>
      <c r="J20" s="443"/>
      <c r="K20" s="447"/>
      <c r="L20" s="469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187"/>
      <c r="I21" s="442"/>
      <c r="J21" s="443"/>
      <c r="K21" s="447"/>
      <c r="L21" s="469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187"/>
      <c r="I22" s="442"/>
      <c r="J22" s="443"/>
      <c r="K22" s="447"/>
      <c r="L22" s="469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187"/>
      <c r="I23" s="442"/>
      <c r="J23" s="443"/>
      <c r="K23" s="447"/>
      <c r="L23" s="469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187"/>
      <c r="I24" s="442"/>
      <c r="J24" s="443"/>
      <c r="K24" s="447"/>
      <c r="L24" s="469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187"/>
      <c r="I25" s="442"/>
      <c r="J25" s="443"/>
      <c r="K25" s="447"/>
      <c r="L25" s="469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187"/>
      <c r="I26" s="442"/>
      <c r="J26" s="443"/>
      <c r="K26" s="447"/>
      <c r="L26" s="469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187"/>
      <c r="I27" s="442"/>
      <c r="J27" s="443"/>
      <c r="K27" s="447"/>
      <c r="L27" s="469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187"/>
      <c r="I28" s="442"/>
      <c r="J28" s="443"/>
      <c r="K28" s="447"/>
      <c r="L28" s="469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187"/>
      <c r="I29" s="442"/>
      <c r="J29" s="443"/>
      <c r="K29" s="447"/>
      <c r="L29" s="469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187"/>
      <c r="I30" s="442"/>
      <c r="J30" s="443"/>
      <c r="K30" s="447"/>
      <c r="L30" s="469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187"/>
      <c r="I31" s="442"/>
      <c r="J31" s="443"/>
      <c r="K31" s="447"/>
      <c r="L31" s="469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187"/>
      <c r="I32" s="442"/>
      <c r="J32" s="443"/>
      <c r="K32" s="447"/>
      <c r="L32" s="469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187"/>
      <c r="I33" s="442"/>
      <c r="J33" s="443"/>
      <c r="K33" s="447"/>
      <c r="L33" s="469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187"/>
      <c r="I34" s="442"/>
      <c r="J34" s="443"/>
      <c r="K34" s="447"/>
      <c r="L34" s="469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187"/>
      <c r="I35" s="442"/>
      <c r="J35" s="443"/>
      <c r="K35" s="447"/>
      <c r="L35" s="469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187"/>
      <c r="I36" s="442"/>
      <c r="J36" s="443"/>
      <c r="K36" s="447"/>
      <c r="L36" s="469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188"/>
      <c r="I37" s="450"/>
      <c r="J37" s="451"/>
      <c r="K37" s="466"/>
      <c r="L37" s="470"/>
      <c r="M37" s="509"/>
      <c r="N37" s="5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K39:L39"/>
    <mergeCell ref="M39:N39"/>
    <mergeCell ref="C36:E36"/>
    <mergeCell ref="M36:N36"/>
    <mergeCell ref="C37:E37"/>
    <mergeCell ref="M37:N37"/>
    <mergeCell ref="I36:J36"/>
    <mergeCell ref="K36:L36"/>
    <mergeCell ref="I37:J37"/>
    <mergeCell ref="K37:L37"/>
    <mergeCell ref="C34:E34"/>
    <mergeCell ref="M34:N34"/>
    <mergeCell ref="C35:E35"/>
    <mergeCell ref="M35:N35"/>
    <mergeCell ref="I34:J34"/>
    <mergeCell ref="K34:L34"/>
    <mergeCell ref="I35:J35"/>
    <mergeCell ref="K35:L35"/>
    <mergeCell ref="C30:E30"/>
    <mergeCell ref="M30:N30"/>
    <mergeCell ref="C31:E31"/>
    <mergeCell ref="M31:N31"/>
    <mergeCell ref="I30:J30"/>
    <mergeCell ref="K30:L30"/>
    <mergeCell ref="I31:J31"/>
    <mergeCell ref="K31:L31"/>
    <mergeCell ref="C32:E32"/>
    <mergeCell ref="M32:N32"/>
    <mergeCell ref="C33:E33"/>
    <mergeCell ref="M33:N33"/>
    <mergeCell ref="I33:J33"/>
    <mergeCell ref="K33:L33"/>
    <mergeCell ref="I32:J32"/>
    <mergeCell ref="K32:L32"/>
    <mergeCell ref="C26:E26"/>
    <mergeCell ref="M26:N26"/>
    <mergeCell ref="C27:E27"/>
    <mergeCell ref="M27:N27"/>
    <mergeCell ref="I26:J26"/>
    <mergeCell ref="K26:L26"/>
    <mergeCell ref="I27:J27"/>
    <mergeCell ref="K27:L27"/>
    <mergeCell ref="C28:E28"/>
    <mergeCell ref="M28:N28"/>
    <mergeCell ref="C29:E29"/>
    <mergeCell ref="M29:N29"/>
    <mergeCell ref="I28:J28"/>
    <mergeCell ref="K28:L28"/>
    <mergeCell ref="I29:J29"/>
    <mergeCell ref="K29:L29"/>
    <mergeCell ref="C22:E22"/>
    <mergeCell ref="M22:N22"/>
    <mergeCell ref="C23:E23"/>
    <mergeCell ref="M23:N23"/>
    <mergeCell ref="I22:J22"/>
    <mergeCell ref="K22:L22"/>
    <mergeCell ref="I23:J23"/>
    <mergeCell ref="K23:L23"/>
    <mergeCell ref="C24:E24"/>
    <mergeCell ref="M24:N24"/>
    <mergeCell ref="C25:E25"/>
    <mergeCell ref="M25:N25"/>
    <mergeCell ref="I24:J24"/>
    <mergeCell ref="K24:L24"/>
    <mergeCell ref="I25:J25"/>
    <mergeCell ref="K25:L25"/>
    <mergeCell ref="C18:E18"/>
    <mergeCell ref="M18:N18"/>
    <mergeCell ref="C19:E19"/>
    <mergeCell ref="M19:N19"/>
    <mergeCell ref="I18:J18"/>
    <mergeCell ref="K18:L18"/>
    <mergeCell ref="I19:J19"/>
    <mergeCell ref="K19:L19"/>
    <mergeCell ref="C20:E20"/>
    <mergeCell ref="M20:N20"/>
    <mergeCell ref="C21:E21"/>
    <mergeCell ref="M21:N21"/>
    <mergeCell ref="I20:J20"/>
    <mergeCell ref="K20:L20"/>
    <mergeCell ref="I21:J21"/>
    <mergeCell ref="K21:L21"/>
    <mergeCell ref="C14:E14"/>
    <mergeCell ref="M14:N14"/>
    <mergeCell ref="C15:E15"/>
    <mergeCell ref="M15:N15"/>
    <mergeCell ref="I14:J14"/>
    <mergeCell ref="K14:L14"/>
    <mergeCell ref="I15:J15"/>
    <mergeCell ref="K15:L15"/>
    <mergeCell ref="C16:E16"/>
    <mergeCell ref="M16:N16"/>
    <mergeCell ref="C17:E17"/>
    <mergeCell ref="M17:N17"/>
    <mergeCell ref="I16:J16"/>
    <mergeCell ref="K16:L16"/>
    <mergeCell ref="I17:J17"/>
    <mergeCell ref="K17:L17"/>
    <mergeCell ref="C13:E13"/>
    <mergeCell ref="M13:N13"/>
    <mergeCell ref="I13:J13"/>
    <mergeCell ref="K13:L13"/>
    <mergeCell ref="M11:N11"/>
    <mergeCell ref="I10:J10"/>
    <mergeCell ref="K10:L10"/>
    <mergeCell ref="I11:J11"/>
    <mergeCell ref="K11:L11"/>
    <mergeCell ref="A7:B7"/>
    <mergeCell ref="C7:N7"/>
    <mergeCell ref="I6:N6"/>
    <mergeCell ref="C12:E12"/>
    <mergeCell ref="M12:N12"/>
    <mergeCell ref="I12:J12"/>
    <mergeCell ref="K12:L12"/>
    <mergeCell ref="C10:E10"/>
    <mergeCell ref="M10:N10"/>
    <mergeCell ref="C11:E11"/>
    <mergeCell ref="G3:H3"/>
    <mergeCell ref="I4:J4"/>
    <mergeCell ref="K4:L4"/>
    <mergeCell ref="C9:E9"/>
    <mergeCell ref="G5:H5"/>
    <mergeCell ref="G6:H6"/>
    <mergeCell ref="I5:J5"/>
    <mergeCell ref="K5:L5"/>
    <mergeCell ref="G4:H4"/>
    <mergeCell ref="A8:N8"/>
    <mergeCell ref="M9:N9"/>
    <mergeCell ref="I9:J9"/>
    <mergeCell ref="K9:L9"/>
    <mergeCell ref="I3:J3"/>
    <mergeCell ref="K3:L3"/>
    <mergeCell ref="M3:N3"/>
    <mergeCell ref="M4:N4"/>
    <mergeCell ref="M5:N5"/>
    <mergeCell ref="M2:N2"/>
    <mergeCell ref="G1:H1"/>
    <mergeCell ref="I1:J1"/>
    <mergeCell ref="K1:L1"/>
    <mergeCell ref="I2:J2"/>
    <mergeCell ref="K2:L2"/>
    <mergeCell ref="G2:H2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I11:I37" xr:uid="{1084923D-0F64-4BEB-A195-2E9A3F063E32}">
      <formula1>Coatings</formula1>
    </dataValidation>
    <dataValidation errorStyle="warning" allowBlank="1" showInputMessage="1" showErrorMessage="1" errorTitle="Unlisted" error="You have entered an unlisted item.  Please make sure the item entered is correct." sqref="H11:H37" xr:uid="{7B655BB8-A264-4013-8604-59960F409951}"/>
    <dataValidation type="list" errorStyle="warning" allowBlank="1" showInputMessage="1" showErrorMessage="1" errorTitle="Unlisted" error="You have entered an unlisted item.  Please make sure the item entered is correct." sqref="F11:F37" xr:uid="{59226C9B-9157-4605-9206-25B3F3FA0612}">
      <formula1>ColdForm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C7D7-A3D6-40FC-8DD0-8081097EB863}">
  <sheetPr codeName="Sheet73"/>
  <dimension ref="A1:P39"/>
  <sheetViews>
    <sheetView workbookViewId="0">
      <selection activeCell="C14" sqref="C14:E14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1276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189" t="s">
        <v>238</v>
      </c>
      <c r="B9" s="189" t="s">
        <v>239</v>
      </c>
      <c r="C9" s="526" t="s">
        <v>240</v>
      </c>
      <c r="D9" s="528"/>
      <c r="E9" s="527"/>
      <c r="F9" s="191" t="s">
        <v>272</v>
      </c>
      <c r="G9" s="190" t="s">
        <v>264</v>
      </c>
      <c r="H9" s="193" t="s">
        <v>271</v>
      </c>
      <c r="I9" s="422" t="s">
        <v>242</v>
      </c>
      <c r="J9" s="424"/>
      <c r="K9" s="526" t="s">
        <v>241</v>
      </c>
      <c r="L9" s="527"/>
      <c r="M9" s="526" t="s">
        <v>327</v>
      </c>
      <c r="N9" s="527"/>
    </row>
    <row r="10" spans="1:16" ht="13.5" customHeight="1" x14ac:dyDescent="0.25">
      <c r="A10" s="162"/>
      <c r="B10" s="163"/>
      <c r="C10" s="529"/>
      <c r="D10" s="529"/>
      <c r="E10" s="529"/>
      <c r="F10" s="192"/>
      <c r="G10" s="163"/>
      <c r="H10" s="161"/>
      <c r="I10" s="461"/>
      <c r="J10" s="531"/>
      <c r="K10" s="461"/>
      <c r="L10" s="531"/>
      <c r="M10" s="529"/>
      <c r="N10" s="530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187"/>
      <c r="I11" s="442"/>
      <c r="J11" s="443"/>
      <c r="K11" s="447"/>
      <c r="L11" s="469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187"/>
      <c r="I12" s="442"/>
      <c r="J12" s="443"/>
      <c r="K12" s="447"/>
      <c r="L12" s="469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187"/>
      <c r="I13" s="442"/>
      <c r="J13" s="443"/>
      <c r="K13" s="447"/>
      <c r="L13" s="469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187"/>
      <c r="I14" s="442"/>
      <c r="J14" s="443"/>
      <c r="K14" s="447"/>
      <c r="L14" s="469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187"/>
      <c r="I15" s="442"/>
      <c r="J15" s="443"/>
      <c r="K15" s="447"/>
      <c r="L15" s="469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187"/>
      <c r="I16" s="442"/>
      <c r="J16" s="443"/>
      <c r="K16" s="447"/>
      <c r="L16" s="469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187"/>
      <c r="I17" s="442"/>
      <c r="J17" s="443"/>
      <c r="K17" s="447"/>
      <c r="L17" s="469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187"/>
      <c r="I18" s="442"/>
      <c r="J18" s="443"/>
      <c r="K18" s="447"/>
      <c r="L18" s="469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187"/>
      <c r="I19" s="442"/>
      <c r="J19" s="443"/>
      <c r="K19" s="447"/>
      <c r="L19" s="469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187"/>
      <c r="I20" s="442"/>
      <c r="J20" s="443"/>
      <c r="K20" s="447"/>
      <c r="L20" s="469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187"/>
      <c r="I21" s="442"/>
      <c r="J21" s="443"/>
      <c r="K21" s="447"/>
      <c r="L21" s="469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187"/>
      <c r="I22" s="442"/>
      <c r="J22" s="443"/>
      <c r="K22" s="447"/>
      <c r="L22" s="469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187"/>
      <c r="I23" s="442"/>
      <c r="J23" s="443"/>
      <c r="K23" s="447"/>
      <c r="L23" s="469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187"/>
      <c r="I24" s="442"/>
      <c r="J24" s="443"/>
      <c r="K24" s="447"/>
      <c r="L24" s="469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187"/>
      <c r="I25" s="442"/>
      <c r="J25" s="443"/>
      <c r="K25" s="447"/>
      <c r="L25" s="469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187"/>
      <c r="I26" s="442"/>
      <c r="J26" s="443"/>
      <c r="K26" s="447"/>
      <c r="L26" s="469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187"/>
      <c r="I27" s="442"/>
      <c r="J27" s="443"/>
      <c r="K27" s="447"/>
      <c r="L27" s="469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187"/>
      <c r="I28" s="442"/>
      <c r="J28" s="443"/>
      <c r="K28" s="447"/>
      <c r="L28" s="469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187"/>
      <c r="I29" s="442"/>
      <c r="J29" s="443"/>
      <c r="K29" s="447"/>
      <c r="L29" s="469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187"/>
      <c r="I30" s="442"/>
      <c r="J30" s="443"/>
      <c r="K30" s="447"/>
      <c r="L30" s="469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187"/>
      <c r="I31" s="442"/>
      <c r="J31" s="443"/>
      <c r="K31" s="447"/>
      <c r="L31" s="469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187"/>
      <c r="I32" s="442"/>
      <c r="J32" s="443"/>
      <c r="K32" s="447"/>
      <c r="L32" s="469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187"/>
      <c r="I33" s="442"/>
      <c r="J33" s="443"/>
      <c r="K33" s="447"/>
      <c r="L33" s="469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187"/>
      <c r="I34" s="442"/>
      <c r="J34" s="443"/>
      <c r="K34" s="447"/>
      <c r="L34" s="469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187"/>
      <c r="I35" s="442"/>
      <c r="J35" s="443"/>
      <c r="K35" s="447"/>
      <c r="L35" s="469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187"/>
      <c r="I36" s="442"/>
      <c r="J36" s="443"/>
      <c r="K36" s="447"/>
      <c r="L36" s="469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188"/>
      <c r="I37" s="450"/>
      <c r="J37" s="451"/>
      <c r="K37" s="466"/>
      <c r="L37" s="470"/>
      <c r="M37" s="509"/>
      <c r="N37" s="5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K39:L39"/>
    <mergeCell ref="M39:N39"/>
    <mergeCell ref="C36:E36"/>
    <mergeCell ref="M36:N36"/>
    <mergeCell ref="C37:E37"/>
    <mergeCell ref="M37:N37"/>
    <mergeCell ref="I36:J36"/>
    <mergeCell ref="K36:L36"/>
    <mergeCell ref="I37:J37"/>
    <mergeCell ref="K37:L37"/>
    <mergeCell ref="C34:E34"/>
    <mergeCell ref="M34:N34"/>
    <mergeCell ref="C35:E35"/>
    <mergeCell ref="M35:N35"/>
    <mergeCell ref="I34:J34"/>
    <mergeCell ref="K34:L34"/>
    <mergeCell ref="I35:J35"/>
    <mergeCell ref="K35:L35"/>
    <mergeCell ref="C30:E30"/>
    <mergeCell ref="M30:N30"/>
    <mergeCell ref="C31:E31"/>
    <mergeCell ref="M31:N31"/>
    <mergeCell ref="I30:J30"/>
    <mergeCell ref="K30:L30"/>
    <mergeCell ref="I31:J31"/>
    <mergeCell ref="K31:L31"/>
    <mergeCell ref="C32:E32"/>
    <mergeCell ref="M32:N32"/>
    <mergeCell ref="C33:E33"/>
    <mergeCell ref="M33:N33"/>
    <mergeCell ref="I33:J33"/>
    <mergeCell ref="K33:L33"/>
    <mergeCell ref="I32:J32"/>
    <mergeCell ref="K32:L32"/>
    <mergeCell ref="C26:E26"/>
    <mergeCell ref="M26:N26"/>
    <mergeCell ref="C27:E27"/>
    <mergeCell ref="M27:N27"/>
    <mergeCell ref="I26:J26"/>
    <mergeCell ref="K26:L26"/>
    <mergeCell ref="I27:J27"/>
    <mergeCell ref="K27:L27"/>
    <mergeCell ref="C28:E28"/>
    <mergeCell ref="M28:N28"/>
    <mergeCell ref="C29:E29"/>
    <mergeCell ref="M29:N29"/>
    <mergeCell ref="I28:J28"/>
    <mergeCell ref="K28:L28"/>
    <mergeCell ref="I29:J29"/>
    <mergeCell ref="K29:L29"/>
    <mergeCell ref="C22:E22"/>
    <mergeCell ref="M22:N22"/>
    <mergeCell ref="C23:E23"/>
    <mergeCell ref="M23:N23"/>
    <mergeCell ref="I22:J22"/>
    <mergeCell ref="K22:L22"/>
    <mergeCell ref="I23:J23"/>
    <mergeCell ref="K23:L23"/>
    <mergeCell ref="C24:E24"/>
    <mergeCell ref="M24:N24"/>
    <mergeCell ref="C25:E25"/>
    <mergeCell ref="M25:N25"/>
    <mergeCell ref="I24:J24"/>
    <mergeCell ref="K24:L24"/>
    <mergeCell ref="I25:J25"/>
    <mergeCell ref="K25:L25"/>
    <mergeCell ref="C18:E18"/>
    <mergeCell ref="M18:N18"/>
    <mergeCell ref="C19:E19"/>
    <mergeCell ref="M19:N19"/>
    <mergeCell ref="I18:J18"/>
    <mergeCell ref="K18:L18"/>
    <mergeCell ref="I19:J19"/>
    <mergeCell ref="K19:L19"/>
    <mergeCell ref="C20:E20"/>
    <mergeCell ref="M20:N20"/>
    <mergeCell ref="C21:E21"/>
    <mergeCell ref="M21:N21"/>
    <mergeCell ref="I20:J20"/>
    <mergeCell ref="K20:L20"/>
    <mergeCell ref="I21:J21"/>
    <mergeCell ref="K21:L21"/>
    <mergeCell ref="C14:E14"/>
    <mergeCell ref="M14:N14"/>
    <mergeCell ref="C15:E15"/>
    <mergeCell ref="M15:N15"/>
    <mergeCell ref="I14:J14"/>
    <mergeCell ref="K14:L14"/>
    <mergeCell ref="I15:J15"/>
    <mergeCell ref="K15:L15"/>
    <mergeCell ref="C16:E16"/>
    <mergeCell ref="M16:N16"/>
    <mergeCell ref="C17:E17"/>
    <mergeCell ref="M17:N17"/>
    <mergeCell ref="I16:J16"/>
    <mergeCell ref="K16:L16"/>
    <mergeCell ref="I17:J17"/>
    <mergeCell ref="K17:L17"/>
    <mergeCell ref="C13:E13"/>
    <mergeCell ref="M13:N13"/>
    <mergeCell ref="I13:J13"/>
    <mergeCell ref="K13:L13"/>
    <mergeCell ref="M11:N11"/>
    <mergeCell ref="I10:J10"/>
    <mergeCell ref="K10:L10"/>
    <mergeCell ref="I11:J11"/>
    <mergeCell ref="K11:L11"/>
    <mergeCell ref="A7:B7"/>
    <mergeCell ref="C7:N7"/>
    <mergeCell ref="I6:N6"/>
    <mergeCell ref="C12:E12"/>
    <mergeCell ref="M12:N12"/>
    <mergeCell ref="I12:J12"/>
    <mergeCell ref="K12:L12"/>
    <mergeCell ref="C10:E10"/>
    <mergeCell ref="M10:N10"/>
    <mergeCell ref="C11:E11"/>
    <mergeCell ref="G3:H3"/>
    <mergeCell ref="I4:J4"/>
    <mergeCell ref="K4:L4"/>
    <mergeCell ref="C9:E9"/>
    <mergeCell ref="G5:H5"/>
    <mergeCell ref="G6:H6"/>
    <mergeCell ref="I5:J5"/>
    <mergeCell ref="K5:L5"/>
    <mergeCell ref="G4:H4"/>
    <mergeCell ref="A8:N8"/>
    <mergeCell ref="M9:N9"/>
    <mergeCell ref="I9:J9"/>
    <mergeCell ref="K9:L9"/>
    <mergeCell ref="I3:J3"/>
    <mergeCell ref="K3:L3"/>
    <mergeCell ref="M3:N3"/>
    <mergeCell ref="M4:N4"/>
    <mergeCell ref="M5:N5"/>
    <mergeCell ref="M2:N2"/>
    <mergeCell ref="G1:H1"/>
    <mergeCell ref="I1:J1"/>
    <mergeCell ref="K1:L1"/>
    <mergeCell ref="I2:J2"/>
    <mergeCell ref="K2:L2"/>
    <mergeCell ref="G2:H2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I11:I37" xr:uid="{7421631B-8422-475A-849A-3D7972585F91}">
      <formula1>Coatings</formula1>
    </dataValidation>
    <dataValidation errorStyle="warning" allowBlank="1" showInputMessage="1" showErrorMessage="1" errorTitle="Unlisted" error="You have entered an unlisted item.  Please make sure the item entered is correct." sqref="H11:H37" xr:uid="{62F9951A-3090-4F5D-8AF7-2224B1E146DD}"/>
    <dataValidation type="list" errorStyle="warning" allowBlank="1" showInputMessage="1" showErrorMessage="1" errorTitle="Unlisted" error="You have entered an unlisted item.  Please make sure the item entered is correct." sqref="F11:F37" xr:uid="{2C74D5F3-1DCC-4F96-970B-7B374A933805}">
      <formula1>Zees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F802-75BA-4C94-B680-C95FE8418E55}">
  <sheetPr codeName="Sheet74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343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4"/>
      <c r="F9" s="69" t="s">
        <v>272</v>
      </c>
      <c r="G9" s="67" t="s">
        <v>271</v>
      </c>
      <c r="H9" s="422" t="s">
        <v>242</v>
      </c>
      <c r="I9" s="424"/>
      <c r="J9" s="422" t="s">
        <v>241</v>
      </c>
      <c r="K9" s="423"/>
      <c r="L9" s="424"/>
      <c r="M9" s="422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129"/>
      <c r="G10" s="71"/>
      <c r="H10" s="413"/>
      <c r="I10" s="413"/>
      <c r="J10" s="413"/>
      <c r="K10" s="413"/>
      <c r="L10" s="413"/>
      <c r="M10" s="413"/>
      <c r="N10" s="415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406"/>
      <c r="I11" s="406"/>
      <c r="J11" s="405"/>
      <c r="K11" s="405"/>
      <c r="L11" s="405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406"/>
      <c r="I12" s="406"/>
      <c r="J12" s="405"/>
      <c r="K12" s="405"/>
      <c r="L12" s="405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406"/>
      <c r="I13" s="406"/>
      <c r="J13" s="405"/>
      <c r="K13" s="405"/>
      <c r="L13" s="405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406"/>
      <c r="I14" s="406"/>
      <c r="J14" s="405"/>
      <c r="K14" s="405"/>
      <c r="L14" s="405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406"/>
      <c r="I15" s="406"/>
      <c r="J15" s="405"/>
      <c r="K15" s="405"/>
      <c r="L15" s="405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406"/>
      <c r="I16" s="406"/>
      <c r="J16" s="405"/>
      <c r="K16" s="405"/>
      <c r="L16" s="405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406"/>
      <c r="I17" s="406"/>
      <c r="J17" s="405"/>
      <c r="K17" s="405"/>
      <c r="L17" s="405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406"/>
      <c r="I18" s="406"/>
      <c r="J18" s="405"/>
      <c r="K18" s="405"/>
      <c r="L18" s="405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406"/>
      <c r="I19" s="406"/>
      <c r="J19" s="405"/>
      <c r="K19" s="405"/>
      <c r="L19" s="405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406"/>
      <c r="I20" s="406"/>
      <c r="J20" s="405"/>
      <c r="K20" s="405"/>
      <c r="L20" s="405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406"/>
      <c r="I21" s="406"/>
      <c r="J21" s="405"/>
      <c r="K21" s="405"/>
      <c r="L21" s="405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406"/>
      <c r="I22" s="406"/>
      <c r="J22" s="405"/>
      <c r="K22" s="405"/>
      <c r="L22" s="405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406"/>
      <c r="I23" s="406"/>
      <c r="J23" s="405"/>
      <c r="K23" s="405"/>
      <c r="L23" s="405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406"/>
      <c r="I24" s="406"/>
      <c r="J24" s="405"/>
      <c r="K24" s="405"/>
      <c r="L24" s="405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406"/>
      <c r="I25" s="406"/>
      <c r="J25" s="405"/>
      <c r="K25" s="405"/>
      <c r="L25" s="405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406"/>
      <c r="I26" s="406"/>
      <c r="J26" s="405"/>
      <c r="K26" s="405"/>
      <c r="L26" s="405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406"/>
      <c r="I27" s="406"/>
      <c r="J27" s="405"/>
      <c r="K27" s="405"/>
      <c r="L27" s="405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406"/>
      <c r="I28" s="406"/>
      <c r="J28" s="405"/>
      <c r="K28" s="405"/>
      <c r="L28" s="405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406"/>
      <c r="I29" s="406"/>
      <c r="J29" s="405"/>
      <c r="K29" s="405"/>
      <c r="L29" s="405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406"/>
      <c r="I30" s="406"/>
      <c r="J30" s="405"/>
      <c r="K30" s="405"/>
      <c r="L30" s="405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406"/>
      <c r="I31" s="406"/>
      <c r="J31" s="405"/>
      <c r="K31" s="405"/>
      <c r="L31" s="405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406"/>
      <c r="I32" s="406"/>
      <c r="J32" s="405"/>
      <c r="K32" s="405"/>
      <c r="L32" s="405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406"/>
      <c r="I33" s="406"/>
      <c r="J33" s="405"/>
      <c r="K33" s="405"/>
      <c r="L33" s="405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406"/>
      <c r="I34" s="406"/>
      <c r="J34" s="405"/>
      <c r="K34" s="405"/>
      <c r="L34" s="405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406"/>
      <c r="I35" s="406"/>
      <c r="J35" s="405"/>
      <c r="K35" s="405"/>
      <c r="L35" s="405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406"/>
      <c r="I36" s="406"/>
      <c r="J36" s="405"/>
      <c r="K36" s="405"/>
      <c r="L36" s="405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409"/>
      <c r="I37" s="409"/>
      <c r="J37" s="408"/>
      <c r="K37" s="408"/>
      <c r="L37" s="408"/>
      <c r="M37" s="509"/>
      <c r="N37" s="5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6:E36"/>
    <mergeCell ref="H36:I36"/>
    <mergeCell ref="C35:E35"/>
    <mergeCell ref="H35:I35"/>
    <mergeCell ref="C34:E34"/>
    <mergeCell ref="H34:I34"/>
    <mergeCell ref="K39:L39"/>
    <mergeCell ref="M39:N39"/>
    <mergeCell ref="J36:L36"/>
    <mergeCell ref="M36:N36"/>
    <mergeCell ref="J37:L37"/>
    <mergeCell ref="M37:N37"/>
    <mergeCell ref="C37:E37"/>
    <mergeCell ref="H37:I37"/>
    <mergeCell ref="J29:L29"/>
    <mergeCell ref="M29:N29"/>
    <mergeCell ref="C32:E32"/>
    <mergeCell ref="H32:I32"/>
    <mergeCell ref="C33:E33"/>
    <mergeCell ref="H33:I33"/>
    <mergeCell ref="C31:E31"/>
    <mergeCell ref="H31:I31"/>
    <mergeCell ref="C29:E29"/>
    <mergeCell ref="H29:I29"/>
    <mergeCell ref="C30:E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E27"/>
    <mergeCell ref="H27:I27"/>
    <mergeCell ref="J27:L27"/>
    <mergeCell ref="M27:N27"/>
    <mergeCell ref="C28:E28"/>
    <mergeCell ref="H28:I28"/>
    <mergeCell ref="J28:L28"/>
    <mergeCell ref="M28:N28"/>
    <mergeCell ref="C25:E25"/>
    <mergeCell ref="H25:I25"/>
    <mergeCell ref="J25:L25"/>
    <mergeCell ref="M25:N25"/>
    <mergeCell ref="C26:E26"/>
    <mergeCell ref="H26:I26"/>
    <mergeCell ref="J26:L26"/>
    <mergeCell ref="M26:N26"/>
    <mergeCell ref="C23:E23"/>
    <mergeCell ref="H23:I23"/>
    <mergeCell ref="J23:L23"/>
    <mergeCell ref="M23:N23"/>
    <mergeCell ref="C24:E24"/>
    <mergeCell ref="H24:I24"/>
    <mergeCell ref="J24:L24"/>
    <mergeCell ref="M24:N24"/>
    <mergeCell ref="C21:E21"/>
    <mergeCell ref="H21:I21"/>
    <mergeCell ref="J21:L21"/>
    <mergeCell ref="M21:N21"/>
    <mergeCell ref="C22:E22"/>
    <mergeCell ref="H22:I22"/>
    <mergeCell ref="J22:L22"/>
    <mergeCell ref="M22:N22"/>
    <mergeCell ref="C19:E19"/>
    <mergeCell ref="H19:I19"/>
    <mergeCell ref="J19:L19"/>
    <mergeCell ref="M19:N19"/>
    <mergeCell ref="C20:E20"/>
    <mergeCell ref="H20:I20"/>
    <mergeCell ref="J20:L20"/>
    <mergeCell ref="M20:N20"/>
    <mergeCell ref="C17:E17"/>
    <mergeCell ref="H17:I17"/>
    <mergeCell ref="J17:L17"/>
    <mergeCell ref="M17:N17"/>
    <mergeCell ref="C18:E18"/>
    <mergeCell ref="H18:I18"/>
    <mergeCell ref="J18:L18"/>
    <mergeCell ref="M18:N18"/>
    <mergeCell ref="C15:E15"/>
    <mergeCell ref="H15:I15"/>
    <mergeCell ref="J15:L15"/>
    <mergeCell ref="M15:N15"/>
    <mergeCell ref="C16:E16"/>
    <mergeCell ref="H16:I16"/>
    <mergeCell ref="J16:L16"/>
    <mergeCell ref="M16:N16"/>
    <mergeCell ref="M13:N13"/>
    <mergeCell ref="C14:E14"/>
    <mergeCell ref="H14:I14"/>
    <mergeCell ref="J14:L14"/>
    <mergeCell ref="M14:N14"/>
    <mergeCell ref="C13:E13"/>
    <mergeCell ref="H13:I13"/>
    <mergeCell ref="J13:L13"/>
    <mergeCell ref="C12:E12"/>
    <mergeCell ref="H12:I12"/>
    <mergeCell ref="J12:L12"/>
    <mergeCell ref="M12:N12"/>
    <mergeCell ref="C11:E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E9"/>
    <mergeCell ref="H9:I9"/>
    <mergeCell ref="J9:L9"/>
    <mergeCell ref="C10:E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H11:I37" xr:uid="{462B7456-9E74-4FB6-AC03-FB01547203DF}">
      <formula1>Coatings</formula1>
    </dataValidation>
    <dataValidation type="list" errorStyle="warning" allowBlank="1" showInputMessage="1" showErrorMessage="1" errorTitle="Unlisted" error="You have entered an unlisted item.  Please make sure the item entered is correct." sqref="F11:F37" xr:uid="{F745E7DF-1BFE-497A-B3A4-3DFB2DE4BE05}">
      <formula1>FlangeBraces</formula1>
    </dataValidation>
    <dataValidation type="list" allowBlank="1" showInputMessage="1" showErrorMessage="1" sqref="C11:E37" xr:uid="{472807D3-F073-4CFC-A6B8-EF8C509AC595}">
      <formula1>FBDesc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A1A4-DB86-4683-9CF1-EA496924D759}">
  <sheetPr codeName="Sheet75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342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4"/>
      <c r="F9" s="69" t="s">
        <v>272</v>
      </c>
      <c r="G9" s="67" t="s">
        <v>271</v>
      </c>
      <c r="H9" s="422" t="s">
        <v>242</v>
      </c>
      <c r="I9" s="424"/>
      <c r="J9" s="422" t="s">
        <v>241</v>
      </c>
      <c r="K9" s="423"/>
      <c r="L9" s="424"/>
      <c r="M9" s="422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129"/>
      <c r="G10" s="71"/>
      <c r="H10" s="413"/>
      <c r="I10" s="413"/>
      <c r="J10" s="413"/>
      <c r="K10" s="413"/>
      <c r="L10" s="413"/>
      <c r="M10" s="413"/>
      <c r="N10" s="415"/>
    </row>
    <row r="11" spans="1:16" ht="13.5" customHeight="1" x14ac:dyDescent="0.25">
      <c r="A11" s="146" t="str">
        <f>"@Data"</f>
        <v>@Data</v>
      </c>
      <c r="B11" s="143"/>
      <c r="C11" s="405"/>
      <c r="D11" s="405"/>
      <c r="E11" s="405"/>
      <c r="F11" s="172"/>
      <c r="G11" s="143"/>
      <c r="H11" s="406"/>
      <c r="I11" s="406"/>
      <c r="J11" s="405"/>
      <c r="K11" s="405"/>
      <c r="L11" s="405"/>
      <c r="M11" s="506"/>
      <c r="N11" s="507"/>
    </row>
    <row r="12" spans="1:16" ht="13.5" customHeight="1" x14ac:dyDescent="0.25">
      <c r="A12" s="146"/>
      <c r="B12" s="143"/>
      <c r="C12" s="405"/>
      <c r="D12" s="405"/>
      <c r="E12" s="405"/>
      <c r="F12" s="172"/>
      <c r="G12" s="143"/>
      <c r="H12" s="406"/>
      <c r="I12" s="406"/>
      <c r="J12" s="405"/>
      <c r="K12" s="405"/>
      <c r="L12" s="405"/>
      <c r="M12" s="506"/>
      <c r="N12" s="507"/>
    </row>
    <row r="13" spans="1:16" ht="13.5" customHeight="1" x14ac:dyDescent="0.25">
      <c r="A13" s="146"/>
      <c r="B13" s="143"/>
      <c r="C13" s="405"/>
      <c r="D13" s="405"/>
      <c r="E13" s="405"/>
      <c r="F13" s="172"/>
      <c r="G13" s="143"/>
      <c r="H13" s="406"/>
      <c r="I13" s="406"/>
      <c r="J13" s="405"/>
      <c r="K13" s="405"/>
      <c r="L13" s="405"/>
      <c r="M13" s="506"/>
      <c r="N13" s="507"/>
    </row>
    <row r="14" spans="1:16" ht="13.5" customHeight="1" x14ac:dyDescent="0.25">
      <c r="A14" s="146"/>
      <c r="B14" s="143"/>
      <c r="C14" s="405"/>
      <c r="D14" s="405"/>
      <c r="E14" s="405"/>
      <c r="F14" s="172"/>
      <c r="G14" s="143"/>
      <c r="H14" s="406"/>
      <c r="I14" s="406"/>
      <c r="J14" s="405"/>
      <c r="K14" s="405"/>
      <c r="L14" s="405"/>
      <c r="M14" s="506"/>
      <c r="N14" s="507"/>
    </row>
    <row r="15" spans="1:16" ht="13.5" customHeight="1" x14ac:dyDescent="0.25">
      <c r="A15" s="146"/>
      <c r="B15" s="143"/>
      <c r="C15" s="405"/>
      <c r="D15" s="405"/>
      <c r="E15" s="405"/>
      <c r="F15" s="172"/>
      <c r="G15" s="143"/>
      <c r="H15" s="406"/>
      <c r="I15" s="406"/>
      <c r="J15" s="405"/>
      <c r="K15" s="405"/>
      <c r="L15" s="405"/>
      <c r="M15" s="506"/>
      <c r="N15" s="507"/>
    </row>
    <row r="16" spans="1:16" ht="13.5" customHeight="1" x14ac:dyDescent="0.25">
      <c r="A16" s="146"/>
      <c r="B16" s="143"/>
      <c r="C16" s="405"/>
      <c r="D16" s="405"/>
      <c r="E16" s="405"/>
      <c r="F16" s="172"/>
      <c r="G16" s="143"/>
      <c r="H16" s="406"/>
      <c r="I16" s="406"/>
      <c r="J16" s="405"/>
      <c r="K16" s="405"/>
      <c r="L16" s="405"/>
      <c r="M16" s="506"/>
      <c r="N16" s="507"/>
    </row>
    <row r="17" spans="1:14" ht="13.5" customHeight="1" x14ac:dyDescent="0.25">
      <c r="A17" s="146"/>
      <c r="B17" s="143"/>
      <c r="C17" s="405"/>
      <c r="D17" s="405"/>
      <c r="E17" s="405"/>
      <c r="F17" s="172"/>
      <c r="G17" s="143"/>
      <c r="H17" s="406"/>
      <c r="I17" s="406"/>
      <c r="J17" s="405"/>
      <c r="K17" s="405"/>
      <c r="L17" s="405"/>
      <c r="M17" s="506"/>
      <c r="N17" s="507"/>
    </row>
    <row r="18" spans="1:14" ht="13.5" customHeight="1" x14ac:dyDescent="0.25">
      <c r="A18" s="146"/>
      <c r="B18" s="143"/>
      <c r="C18" s="405"/>
      <c r="D18" s="405"/>
      <c r="E18" s="405"/>
      <c r="F18" s="172"/>
      <c r="G18" s="143"/>
      <c r="H18" s="406"/>
      <c r="I18" s="406"/>
      <c r="J18" s="405"/>
      <c r="K18" s="405"/>
      <c r="L18" s="405"/>
      <c r="M18" s="506"/>
      <c r="N18" s="507"/>
    </row>
    <row r="19" spans="1:14" ht="13.5" customHeight="1" x14ac:dyDescent="0.25">
      <c r="A19" s="146"/>
      <c r="B19" s="143"/>
      <c r="C19" s="405"/>
      <c r="D19" s="405"/>
      <c r="E19" s="405"/>
      <c r="F19" s="172"/>
      <c r="G19" s="143"/>
      <c r="H19" s="406"/>
      <c r="I19" s="406"/>
      <c r="J19" s="405"/>
      <c r="K19" s="405"/>
      <c r="L19" s="405"/>
      <c r="M19" s="506"/>
      <c r="N19" s="507"/>
    </row>
    <row r="20" spans="1:14" ht="13.5" customHeight="1" x14ac:dyDescent="0.25">
      <c r="A20" s="146"/>
      <c r="B20" s="143"/>
      <c r="C20" s="405"/>
      <c r="D20" s="405"/>
      <c r="E20" s="405"/>
      <c r="F20" s="172"/>
      <c r="G20" s="143"/>
      <c r="H20" s="406"/>
      <c r="I20" s="406"/>
      <c r="J20" s="405"/>
      <c r="K20" s="405"/>
      <c r="L20" s="405"/>
      <c r="M20" s="506"/>
      <c r="N20" s="507"/>
    </row>
    <row r="21" spans="1:14" s="2" customFormat="1" ht="13.5" customHeight="1" x14ac:dyDescent="0.25">
      <c r="A21" s="146"/>
      <c r="B21" s="143"/>
      <c r="C21" s="405"/>
      <c r="D21" s="405"/>
      <c r="E21" s="405"/>
      <c r="F21" s="172"/>
      <c r="G21" s="143"/>
      <c r="H21" s="406"/>
      <c r="I21" s="406"/>
      <c r="J21" s="405"/>
      <c r="K21" s="405"/>
      <c r="L21" s="405"/>
      <c r="M21" s="506"/>
      <c r="N21" s="507"/>
    </row>
    <row r="22" spans="1:14" ht="13.5" customHeight="1" x14ac:dyDescent="0.25">
      <c r="A22" s="146"/>
      <c r="B22" s="143"/>
      <c r="C22" s="405"/>
      <c r="D22" s="405"/>
      <c r="E22" s="405"/>
      <c r="F22" s="172"/>
      <c r="G22" s="143"/>
      <c r="H22" s="406"/>
      <c r="I22" s="406"/>
      <c r="J22" s="405"/>
      <c r="K22" s="405"/>
      <c r="L22" s="405"/>
      <c r="M22" s="506"/>
      <c r="N22" s="507"/>
    </row>
    <row r="23" spans="1:14" ht="13.5" customHeight="1" x14ac:dyDescent="0.25">
      <c r="A23" s="146"/>
      <c r="B23" s="143"/>
      <c r="C23" s="405"/>
      <c r="D23" s="405"/>
      <c r="E23" s="405"/>
      <c r="F23" s="172"/>
      <c r="G23" s="143"/>
      <c r="H23" s="406"/>
      <c r="I23" s="406"/>
      <c r="J23" s="405"/>
      <c r="K23" s="405"/>
      <c r="L23" s="405"/>
      <c r="M23" s="506"/>
      <c r="N23" s="507"/>
    </row>
    <row r="24" spans="1:14" ht="13.5" customHeight="1" x14ac:dyDescent="0.25">
      <c r="A24" s="146"/>
      <c r="B24" s="143"/>
      <c r="C24" s="405"/>
      <c r="D24" s="405"/>
      <c r="E24" s="405"/>
      <c r="F24" s="172"/>
      <c r="G24" s="143"/>
      <c r="H24" s="406"/>
      <c r="I24" s="406"/>
      <c r="J24" s="405"/>
      <c r="K24" s="405"/>
      <c r="L24" s="405"/>
      <c r="M24" s="506"/>
      <c r="N24" s="507"/>
    </row>
    <row r="25" spans="1:14" ht="13.5" customHeight="1" x14ac:dyDescent="0.25">
      <c r="A25" s="146"/>
      <c r="B25" s="143"/>
      <c r="C25" s="405"/>
      <c r="D25" s="405"/>
      <c r="E25" s="405"/>
      <c r="F25" s="172"/>
      <c r="G25" s="143"/>
      <c r="H25" s="406"/>
      <c r="I25" s="406"/>
      <c r="J25" s="405"/>
      <c r="K25" s="405"/>
      <c r="L25" s="405"/>
      <c r="M25" s="506"/>
      <c r="N25" s="507"/>
    </row>
    <row r="26" spans="1:14" ht="13.5" customHeight="1" x14ac:dyDescent="0.25">
      <c r="A26" s="146"/>
      <c r="B26" s="143"/>
      <c r="C26" s="405"/>
      <c r="D26" s="405"/>
      <c r="E26" s="405"/>
      <c r="F26" s="172"/>
      <c r="G26" s="143"/>
      <c r="H26" s="406"/>
      <c r="I26" s="406"/>
      <c r="J26" s="405"/>
      <c r="K26" s="405"/>
      <c r="L26" s="405"/>
      <c r="M26" s="506"/>
      <c r="N26" s="507"/>
    </row>
    <row r="27" spans="1:14" ht="13.5" customHeight="1" x14ac:dyDescent="0.25">
      <c r="A27" s="146"/>
      <c r="B27" s="143"/>
      <c r="C27" s="405"/>
      <c r="D27" s="405"/>
      <c r="E27" s="405"/>
      <c r="F27" s="172"/>
      <c r="G27" s="143"/>
      <c r="H27" s="406"/>
      <c r="I27" s="406"/>
      <c r="J27" s="405"/>
      <c r="K27" s="405"/>
      <c r="L27" s="405"/>
      <c r="M27" s="506"/>
      <c r="N27" s="507"/>
    </row>
    <row r="28" spans="1:14" ht="13.5" customHeight="1" x14ac:dyDescent="0.25">
      <c r="A28" s="146"/>
      <c r="B28" s="143"/>
      <c r="C28" s="405"/>
      <c r="D28" s="405"/>
      <c r="E28" s="405"/>
      <c r="F28" s="172"/>
      <c r="G28" s="143"/>
      <c r="H28" s="406"/>
      <c r="I28" s="406"/>
      <c r="J28" s="405"/>
      <c r="K28" s="405"/>
      <c r="L28" s="405"/>
      <c r="M28" s="506"/>
      <c r="N28" s="507"/>
    </row>
    <row r="29" spans="1:14" ht="13.5" customHeight="1" x14ac:dyDescent="0.25">
      <c r="A29" s="146"/>
      <c r="B29" s="143"/>
      <c r="C29" s="405"/>
      <c r="D29" s="405"/>
      <c r="E29" s="405"/>
      <c r="F29" s="172"/>
      <c r="G29" s="143"/>
      <c r="H29" s="406"/>
      <c r="I29" s="406"/>
      <c r="J29" s="405"/>
      <c r="K29" s="405"/>
      <c r="L29" s="405"/>
      <c r="M29" s="506"/>
      <c r="N29" s="507"/>
    </row>
    <row r="30" spans="1:14" ht="13.5" customHeight="1" x14ac:dyDescent="0.25">
      <c r="A30" s="146"/>
      <c r="B30" s="143"/>
      <c r="C30" s="405"/>
      <c r="D30" s="405"/>
      <c r="E30" s="405"/>
      <c r="F30" s="172"/>
      <c r="G30" s="143"/>
      <c r="H30" s="406"/>
      <c r="I30" s="406"/>
      <c r="J30" s="405"/>
      <c r="K30" s="405"/>
      <c r="L30" s="405"/>
      <c r="M30" s="506"/>
      <c r="N30" s="507"/>
    </row>
    <row r="31" spans="1:14" ht="13.5" customHeight="1" x14ac:dyDescent="0.25">
      <c r="A31" s="146"/>
      <c r="B31" s="143"/>
      <c r="C31" s="405"/>
      <c r="D31" s="405"/>
      <c r="E31" s="405"/>
      <c r="F31" s="172"/>
      <c r="G31" s="143"/>
      <c r="H31" s="406"/>
      <c r="I31" s="406"/>
      <c r="J31" s="405"/>
      <c r="K31" s="405"/>
      <c r="L31" s="405"/>
      <c r="M31" s="506"/>
      <c r="N31" s="507"/>
    </row>
    <row r="32" spans="1:14" ht="13.5" customHeight="1" x14ac:dyDescent="0.25">
      <c r="A32" s="146"/>
      <c r="B32" s="143"/>
      <c r="C32" s="405"/>
      <c r="D32" s="405"/>
      <c r="E32" s="405"/>
      <c r="F32" s="172"/>
      <c r="G32" s="143"/>
      <c r="H32" s="406"/>
      <c r="I32" s="406"/>
      <c r="J32" s="405"/>
      <c r="K32" s="405"/>
      <c r="L32" s="405"/>
      <c r="M32" s="506"/>
      <c r="N32" s="507"/>
    </row>
    <row r="33" spans="1:14" ht="13.5" customHeight="1" x14ac:dyDescent="0.25">
      <c r="A33" s="146"/>
      <c r="B33" s="143"/>
      <c r="C33" s="405"/>
      <c r="D33" s="405"/>
      <c r="E33" s="405"/>
      <c r="F33" s="172"/>
      <c r="G33" s="143"/>
      <c r="H33" s="406"/>
      <c r="I33" s="406"/>
      <c r="J33" s="405"/>
      <c r="K33" s="405"/>
      <c r="L33" s="405"/>
      <c r="M33" s="506"/>
      <c r="N33" s="507"/>
    </row>
    <row r="34" spans="1:14" ht="13.5" customHeight="1" x14ac:dyDescent="0.25">
      <c r="A34" s="146"/>
      <c r="B34" s="143"/>
      <c r="C34" s="405"/>
      <c r="D34" s="405"/>
      <c r="E34" s="405"/>
      <c r="F34" s="172"/>
      <c r="G34" s="143"/>
      <c r="H34" s="406"/>
      <c r="I34" s="406"/>
      <c r="J34" s="405"/>
      <c r="K34" s="405"/>
      <c r="L34" s="405"/>
      <c r="M34" s="506"/>
      <c r="N34" s="507"/>
    </row>
    <row r="35" spans="1:14" ht="13.5" customHeight="1" x14ac:dyDescent="0.25">
      <c r="A35" s="146"/>
      <c r="B35" s="143"/>
      <c r="C35" s="405"/>
      <c r="D35" s="405"/>
      <c r="E35" s="405"/>
      <c r="F35" s="172"/>
      <c r="G35" s="143"/>
      <c r="H35" s="406"/>
      <c r="I35" s="406"/>
      <c r="J35" s="405"/>
      <c r="K35" s="405"/>
      <c r="L35" s="405"/>
      <c r="M35" s="506"/>
      <c r="N35" s="507"/>
    </row>
    <row r="36" spans="1:14" ht="13.5" customHeight="1" x14ac:dyDescent="0.25">
      <c r="A36" s="146"/>
      <c r="B36" s="143"/>
      <c r="C36" s="405"/>
      <c r="D36" s="405"/>
      <c r="E36" s="405"/>
      <c r="F36" s="172"/>
      <c r="G36" s="143"/>
      <c r="H36" s="406"/>
      <c r="I36" s="406"/>
      <c r="J36" s="405"/>
      <c r="K36" s="405"/>
      <c r="L36" s="405"/>
      <c r="M36" s="506"/>
      <c r="N36" s="507"/>
    </row>
    <row r="37" spans="1:14" ht="13.5" customHeight="1" thickBot="1" x14ac:dyDescent="0.3">
      <c r="A37" s="147"/>
      <c r="B37" s="145"/>
      <c r="C37" s="408"/>
      <c r="D37" s="408"/>
      <c r="E37" s="408"/>
      <c r="F37" s="173"/>
      <c r="G37" s="145"/>
      <c r="H37" s="409"/>
      <c r="I37" s="409"/>
      <c r="J37" s="408"/>
      <c r="K37" s="408"/>
      <c r="L37" s="408"/>
      <c r="M37" s="509"/>
      <c r="N37" s="5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6:E36"/>
    <mergeCell ref="H36:I36"/>
    <mergeCell ref="C35:E35"/>
    <mergeCell ref="H35:I35"/>
    <mergeCell ref="C34:E34"/>
    <mergeCell ref="H34:I34"/>
    <mergeCell ref="K39:L39"/>
    <mergeCell ref="M39:N39"/>
    <mergeCell ref="J36:L36"/>
    <mergeCell ref="M36:N36"/>
    <mergeCell ref="J37:L37"/>
    <mergeCell ref="M37:N37"/>
    <mergeCell ref="C37:E37"/>
    <mergeCell ref="H37:I37"/>
    <mergeCell ref="J29:L29"/>
    <mergeCell ref="M29:N29"/>
    <mergeCell ref="C32:E32"/>
    <mergeCell ref="H32:I32"/>
    <mergeCell ref="C33:E33"/>
    <mergeCell ref="H33:I33"/>
    <mergeCell ref="C31:E31"/>
    <mergeCell ref="H31:I31"/>
    <mergeCell ref="C29:E29"/>
    <mergeCell ref="H29:I29"/>
    <mergeCell ref="C30:E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E27"/>
    <mergeCell ref="H27:I27"/>
    <mergeCell ref="J27:L27"/>
    <mergeCell ref="M27:N27"/>
    <mergeCell ref="C28:E28"/>
    <mergeCell ref="H28:I28"/>
    <mergeCell ref="J28:L28"/>
    <mergeCell ref="M28:N28"/>
    <mergeCell ref="C25:E25"/>
    <mergeCell ref="H25:I25"/>
    <mergeCell ref="J25:L25"/>
    <mergeCell ref="M25:N25"/>
    <mergeCell ref="C26:E26"/>
    <mergeCell ref="H26:I26"/>
    <mergeCell ref="J26:L26"/>
    <mergeCell ref="M26:N26"/>
    <mergeCell ref="C23:E23"/>
    <mergeCell ref="H23:I23"/>
    <mergeCell ref="J23:L23"/>
    <mergeCell ref="M23:N23"/>
    <mergeCell ref="C24:E24"/>
    <mergeCell ref="H24:I24"/>
    <mergeCell ref="J24:L24"/>
    <mergeCell ref="M24:N24"/>
    <mergeCell ref="C21:E21"/>
    <mergeCell ref="H21:I21"/>
    <mergeCell ref="J21:L21"/>
    <mergeCell ref="M21:N21"/>
    <mergeCell ref="C22:E22"/>
    <mergeCell ref="H22:I22"/>
    <mergeCell ref="J22:L22"/>
    <mergeCell ref="M22:N22"/>
    <mergeCell ref="C19:E19"/>
    <mergeCell ref="H19:I19"/>
    <mergeCell ref="J19:L19"/>
    <mergeCell ref="M19:N19"/>
    <mergeCell ref="C20:E20"/>
    <mergeCell ref="H20:I20"/>
    <mergeCell ref="J20:L20"/>
    <mergeCell ref="M20:N20"/>
    <mergeCell ref="C17:E17"/>
    <mergeCell ref="H17:I17"/>
    <mergeCell ref="J17:L17"/>
    <mergeCell ref="M17:N17"/>
    <mergeCell ref="C18:E18"/>
    <mergeCell ref="H18:I18"/>
    <mergeCell ref="J18:L18"/>
    <mergeCell ref="M18:N18"/>
    <mergeCell ref="C15:E15"/>
    <mergeCell ref="H15:I15"/>
    <mergeCell ref="J15:L15"/>
    <mergeCell ref="M15:N15"/>
    <mergeCell ref="C16:E16"/>
    <mergeCell ref="H16:I16"/>
    <mergeCell ref="J16:L16"/>
    <mergeCell ref="M16:N16"/>
    <mergeCell ref="M13:N13"/>
    <mergeCell ref="C14:E14"/>
    <mergeCell ref="H14:I14"/>
    <mergeCell ref="J14:L14"/>
    <mergeCell ref="M14:N14"/>
    <mergeCell ref="C13:E13"/>
    <mergeCell ref="H13:I13"/>
    <mergeCell ref="J13:L13"/>
    <mergeCell ref="C12:E12"/>
    <mergeCell ref="H12:I12"/>
    <mergeCell ref="J12:L12"/>
    <mergeCell ref="M12:N12"/>
    <mergeCell ref="C11:E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E9"/>
    <mergeCell ref="H9:I9"/>
    <mergeCell ref="J9:L9"/>
    <mergeCell ref="C10:E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340695E3-1796-47A0-9D21-6E432905E6D5}">
      <formula1>Coatings</formula1>
    </dataValidation>
    <dataValidation type="list" errorStyle="warning" allowBlank="1" showInputMessage="1" showErrorMessage="1" errorTitle="Unlisted" error="You have entered an unlisted item.  Please make sure the item entered is correct." sqref="F11:F37" xr:uid="{5C05BD6E-D1E5-47FE-9AC8-305EEBEF0571}">
      <formula1>ColdForm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C1E4-EE03-4C52-830E-E44BB143C5B1}">
  <sheetPr codeName="Sheet76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341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22" t="s">
        <v>239</v>
      </c>
      <c r="C9" s="424"/>
      <c r="D9" s="422" t="s">
        <v>240</v>
      </c>
      <c r="E9" s="423"/>
      <c r="F9" s="423"/>
      <c r="G9" s="423"/>
      <c r="H9" s="424"/>
      <c r="I9" s="416" t="s">
        <v>242</v>
      </c>
      <c r="J9" s="417"/>
      <c r="K9" s="422" t="s">
        <v>1345</v>
      </c>
      <c r="L9" s="424"/>
      <c r="M9" s="423" t="s">
        <v>327</v>
      </c>
      <c r="N9" s="424"/>
    </row>
    <row r="10" spans="1:16" ht="13.5" customHeight="1" x14ac:dyDescent="0.25">
      <c r="A10" s="162"/>
      <c r="B10" s="529"/>
      <c r="C10" s="529"/>
      <c r="D10" s="529"/>
      <c r="E10" s="529"/>
      <c r="F10" s="529"/>
      <c r="G10" s="529"/>
      <c r="H10" s="529"/>
      <c r="I10" s="529"/>
      <c r="J10" s="529"/>
      <c r="K10" s="529"/>
      <c r="L10" s="529"/>
      <c r="M10" s="529"/>
      <c r="N10" s="530"/>
    </row>
    <row r="11" spans="1:16" ht="13.5" customHeight="1" x14ac:dyDescent="0.25">
      <c r="A11" s="142" t="str">
        <f>"@Data"</f>
        <v>@Data</v>
      </c>
      <c r="B11" s="405"/>
      <c r="C11" s="405"/>
      <c r="D11" s="442"/>
      <c r="E11" s="532"/>
      <c r="F11" s="532"/>
      <c r="G11" s="532"/>
      <c r="H11" s="443"/>
      <c r="I11" s="442"/>
      <c r="J11" s="443"/>
      <c r="K11" s="442"/>
      <c r="L11" s="443"/>
      <c r="M11" s="440"/>
      <c r="N11" s="441"/>
    </row>
    <row r="12" spans="1:16" ht="13.5" customHeight="1" x14ac:dyDescent="0.25">
      <c r="A12" s="142"/>
      <c r="B12" s="405"/>
      <c r="C12" s="405"/>
      <c r="D12" s="442"/>
      <c r="E12" s="532"/>
      <c r="F12" s="532"/>
      <c r="G12" s="532"/>
      <c r="H12" s="443"/>
      <c r="I12" s="442"/>
      <c r="J12" s="443"/>
      <c r="K12" s="442"/>
      <c r="L12" s="443"/>
      <c r="M12" s="440"/>
      <c r="N12" s="441"/>
    </row>
    <row r="13" spans="1:16" ht="13.5" customHeight="1" x14ac:dyDescent="0.25">
      <c r="A13" s="142"/>
      <c r="B13" s="405"/>
      <c r="C13" s="405"/>
      <c r="D13" s="442"/>
      <c r="E13" s="532"/>
      <c r="F13" s="532"/>
      <c r="G13" s="532"/>
      <c r="H13" s="443"/>
      <c r="I13" s="442"/>
      <c r="J13" s="443"/>
      <c r="K13" s="442"/>
      <c r="L13" s="443"/>
      <c r="M13" s="440"/>
      <c r="N13" s="441"/>
    </row>
    <row r="14" spans="1:16" ht="13.5" customHeight="1" x14ac:dyDescent="0.25">
      <c r="A14" s="142"/>
      <c r="B14" s="405"/>
      <c r="C14" s="405"/>
      <c r="D14" s="442"/>
      <c r="E14" s="532"/>
      <c r="F14" s="532"/>
      <c r="G14" s="532"/>
      <c r="H14" s="443"/>
      <c r="I14" s="442"/>
      <c r="J14" s="443"/>
      <c r="K14" s="442"/>
      <c r="L14" s="443"/>
      <c r="M14" s="440"/>
      <c r="N14" s="441"/>
    </row>
    <row r="15" spans="1:16" ht="13.5" customHeight="1" x14ac:dyDescent="0.25">
      <c r="A15" s="142"/>
      <c r="B15" s="405"/>
      <c r="C15" s="405"/>
      <c r="D15" s="442"/>
      <c r="E15" s="532"/>
      <c r="F15" s="532"/>
      <c r="G15" s="532"/>
      <c r="H15" s="443"/>
      <c r="I15" s="442"/>
      <c r="J15" s="443"/>
      <c r="K15" s="442"/>
      <c r="L15" s="443"/>
      <c r="M15" s="440"/>
      <c r="N15" s="441"/>
    </row>
    <row r="16" spans="1:16" ht="13.5" customHeight="1" x14ac:dyDescent="0.25">
      <c r="A16" s="142"/>
      <c r="B16" s="405"/>
      <c r="C16" s="405"/>
      <c r="D16" s="442"/>
      <c r="E16" s="532"/>
      <c r="F16" s="532"/>
      <c r="G16" s="532"/>
      <c r="H16" s="443"/>
      <c r="I16" s="442"/>
      <c r="J16" s="443"/>
      <c r="K16" s="442"/>
      <c r="L16" s="443"/>
      <c r="M16" s="440"/>
      <c r="N16" s="441"/>
    </row>
    <row r="17" spans="1:14" ht="13.5" customHeight="1" x14ac:dyDescent="0.25">
      <c r="A17" s="142"/>
      <c r="B17" s="405"/>
      <c r="C17" s="405"/>
      <c r="D17" s="442"/>
      <c r="E17" s="532"/>
      <c r="F17" s="532"/>
      <c r="G17" s="532"/>
      <c r="H17" s="443"/>
      <c r="I17" s="442"/>
      <c r="J17" s="443"/>
      <c r="K17" s="442"/>
      <c r="L17" s="443"/>
      <c r="M17" s="440"/>
      <c r="N17" s="441"/>
    </row>
    <row r="18" spans="1:14" ht="13.5" customHeight="1" x14ac:dyDescent="0.25">
      <c r="A18" s="142"/>
      <c r="B18" s="405"/>
      <c r="C18" s="405"/>
      <c r="D18" s="442"/>
      <c r="E18" s="532"/>
      <c r="F18" s="532"/>
      <c r="G18" s="532"/>
      <c r="H18" s="443"/>
      <c r="I18" s="442"/>
      <c r="J18" s="443"/>
      <c r="K18" s="442"/>
      <c r="L18" s="443"/>
      <c r="M18" s="440"/>
      <c r="N18" s="441"/>
    </row>
    <row r="19" spans="1:14" ht="13.5" customHeight="1" x14ac:dyDescent="0.25">
      <c r="A19" s="142"/>
      <c r="B19" s="405"/>
      <c r="C19" s="405"/>
      <c r="D19" s="442"/>
      <c r="E19" s="532"/>
      <c r="F19" s="532"/>
      <c r="G19" s="532"/>
      <c r="H19" s="443"/>
      <c r="I19" s="442"/>
      <c r="J19" s="443"/>
      <c r="K19" s="442"/>
      <c r="L19" s="443"/>
      <c r="M19" s="440"/>
      <c r="N19" s="441"/>
    </row>
    <row r="20" spans="1:14" ht="13.5" customHeight="1" x14ac:dyDescent="0.25">
      <c r="A20" s="142"/>
      <c r="B20" s="405"/>
      <c r="C20" s="405"/>
      <c r="D20" s="442"/>
      <c r="E20" s="532"/>
      <c r="F20" s="532"/>
      <c r="G20" s="532"/>
      <c r="H20" s="443"/>
      <c r="I20" s="442"/>
      <c r="J20" s="443"/>
      <c r="K20" s="442"/>
      <c r="L20" s="443"/>
      <c r="M20" s="440"/>
      <c r="N20" s="441"/>
    </row>
    <row r="21" spans="1:14" s="2" customFormat="1" ht="13.5" customHeight="1" x14ac:dyDescent="0.25">
      <c r="A21" s="142"/>
      <c r="B21" s="405"/>
      <c r="C21" s="405"/>
      <c r="D21" s="442"/>
      <c r="E21" s="532"/>
      <c r="F21" s="532"/>
      <c r="G21" s="532"/>
      <c r="H21" s="443"/>
      <c r="I21" s="442"/>
      <c r="J21" s="443"/>
      <c r="K21" s="442"/>
      <c r="L21" s="443"/>
      <c r="M21" s="440"/>
      <c r="N21" s="441"/>
    </row>
    <row r="22" spans="1:14" ht="13.5" customHeight="1" x14ac:dyDescent="0.25">
      <c r="A22" s="142"/>
      <c r="B22" s="405"/>
      <c r="C22" s="405"/>
      <c r="D22" s="442"/>
      <c r="E22" s="532"/>
      <c r="F22" s="532"/>
      <c r="G22" s="532"/>
      <c r="H22" s="443"/>
      <c r="I22" s="442"/>
      <c r="J22" s="443"/>
      <c r="K22" s="442"/>
      <c r="L22" s="443"/>
      <c r="M22" s="440"/>
      <c r="N22" s="441"/>
    </row>
    <row r="23" spans="1:14" ht="13.5" customHeight="1" x14ac:dyDescent="0.25">
      <c r="A23" s="142"/>
      <c r="B23" s="405"/>
      <c r="C23" s="405"/>
      <c r="D23" s="442"/>
      <c r="E23" s="532"/>
      <c r="F23" s="532"/>
      <c r="G23" s="532"/>
      <c r="H23" s="443"/>
      <c r="I23" s="442"/>
      <c r="J23" s="443"/>
      <c r="K23" s="442"/>
      <c r="L23" s="443"/>
      <c r="M23" s="440"/>
      <c r="N23" s="441"/>
    </row>
    <row r="24" spans="1:14" ht="13.5" customHeight="1" x14ac:dyDescent="0.25">
      <c r="A24" s="142"/>
      <c r="B24" s="405"/>
      <c r="C24" s="405"/>
      <c r="D24" s="442"/>
      <c r="E24" s="532"/>
      <c r="F24" s="532"/>
      <c r="G24" s="532"/>
      <c r="H24" s="443"/>
      <c r="I24" s="442"/>
      <c r="J24" s="443"/>
      <c r="K24" s="442"/>
      <c r="L24" s="443"/>
      <c r="M24" s="440"/>
      <c r="N24" s="441"/>
    </row>
    <row r="25" spans="1:14" ht="13.5" customHeight="1" x14ac:dyDescent="0.25">
      <c r="A25" s="142"/>
      <c r="B25" s="405"/>
      <c r="C25" s="405"/>
      <c r="D25" s="442"/>
      <c r="E25" s="532"/>
      <c r="F25" s="532"/>
      <c r="G25" s="532"/>
      <c r="H25" s="443"/>
      <c r="I25" s="442"/>
      <c r="J25" s="443"/>
      <c r="K25" s="442"/>
      <c r="L25" s="443"/>
      <c r="M25" s="440"/>
      <c r="N25" s="441"/>
    </row>
    <row r="26" spans="1:14" ht="13.5" customHeight="1" x14ac:dyDescent="0.25">
      <c r="A26" s="142"/>
      <c r="B26" s="405"/>
      <c r="C26" s="405"/>
      <c r="D26" s="442"/>
      <c r="E26" s="532"/>
      <c r="F26" s="532"/>
      <c r="G26" s="532"/>
      <c r="H26" s="443"/>
      <c r="I26" s="442"/>
      <c r="J26" s="443"/>
      <c r="K26" s="442"/>
      <c r="L26" s="443"/>
      <c r="M26" s="440"/>
      <c r="N26" s="441"/>
    </row>
    <row r="27" spans="1:14" ht="13.5" customHeight="1" x14ac:dyDescent="0.25">
      <c r="A27" s="142"/>
      <c r="B27" s="405"/>
      <c r="C27" s="405"/>
      <c r="D27" s="442"/>
      <c r="E27" s="532"/>
      <c r="F27" s="532"/>
      <c r="G27" s="532"/>
      <c r="H27" s="443"/>
      <c r="I27" s="442"/>
      <c r="J27" s="443"/>
      <c r="K27" s="442"/>
      <c r="L27" s="443"/>
      <c r="M27" s="440"/>
      <c r="N27" s="441"/>
    </row>
    <row r="28" spans="1:14" ht="13.5" customHeight="1" x14ac:dyDescent="0.25">
      <c r="A28" s="142"/>
      <c r="B28" s="405"/>
      <c r="C28" s="405"/>
      <c r="D28" s="442"/>
      <c r="E28" s="532"/>
      <c r="F28" s="532"/>
      <c r="G28" s="532"/>
      <c r="H28" s="443"/>
      <c r="I28" s="442"/>
      <c r="J28" s="443"/>
      <c r="K28" s="442"/>
      <c r="L28" s="443"/>
      <c r="M28" s="440"/>
      <c r="N28" s="441"/>
    </row>
    <row r="29" spans="1:14" ht="13.5" customHeight="1" x14ac:dyDescent="0.25">
      <c r="A29" s="142"/>
      <c r="B29" s="405"/>
      <c r="C29" s="405"/>
      <c r="D29" s="442"/>
      <c r="E29" s="532"/>
      <c r="F29" s="532"/>
      <c r="G29" s="532"/>
      <c r="H29" s="443"/>
      <c r="I29" s="442"/>
      <c r="J29" s="443"/>
      <c r="K29" s="442"/>
      <c r="L29" s="443"/>
      <c r="M29" s="440"/>
      <c r="N29" s="441"/>
    </row>
    <row r="30" spans="1:14" ht="13.5" customHeight="1" x14ac:dyDescent="0.25">
      <c r="A30" s="142"/>
      <c r="B30" s="405"/>
      <c r="C30" s="405"/>
      <c r="D30" s="442"/>
      <c r="E30" s="532"/>
      <c r="F30" s="532"/>
      <c r="G30" s="532"/>
      <c r="H30" s="443"/>
      <c r="I30" s="442"/>
      <c r="J30" s="443"/>
      <c r="K30" s="442"/>
      <c r="L30" s="443"/>
      <c r="M30" s="440"/>
      <c r="N30" s="441"/>
    </row>
    <row r="31" spans="1:14" ht="13.5" customHeight="1" x14ac:dyDescent="0.25">
      <c r="A31" s="142"/>
      <c r="B31" s="405"/>
      <c r="C31" s="405"/>
      <c r="D31" s="442"/>
      <c r="E31" s="532"/>
      <c r="F31" s="532"/>
      <c r="G31" s="532"/>
      <c r="H31" s="443"/>
      <c r="I31" s="442"/>
      <c r="J31" s="443"/>
      <c r="K31" s="442"/>
      <c r="L31" s="443"/>
      <c r="M31" s="440"/>
      <c r="N31" s="441"/>
    </row>
    <row r="32" spans="1:14" ht="13.5" customHeight="1" x14ac:dyDescent="0.25">
      <c r="A32" s="142"/>
      <c r="B32" s="405"/>
      <c r="C32" s="405"/>
      <c r="D32" s="442"/>
      <c r="E32" s="532"/>
      <c r="F32" s="532"/>
      <c r="G32" s="532"/>
      <c r="H32" s="443"/>
      <c r="I32" s="442"/>
      <c r="J32" s="443"/>
      <c r="K32" s="442"/>
      <c r="L32" s="443"/>
      <c r="M32" s="440"/>
      <c r="N32" s="441"/>
    </row>
    <row r="33" spans="1:14" ht="13.5" customHeight="1" x14ac:dyDescent="0.25">
      <c r="A33" s="142"/>
      <c r="B33" s="405"/>
      <c r="C33" s="405"/>
      <c r="D33" s="442"/>
      <c r="E33" s="532"/>
      <c r="F33" s="532"/>
      <c r="G33" s="532"/>
      <c r="H33" s="443"/>
      <c r="I33" s="442"/>
      <c r="J33" s="443"/>
      <c r="K33" s="442"/>
      <c r="L33" s="443"/>
      <c r="M33" s="440"/>
      <c r="N33" s="441"/>
    </row>
    <row r="34" spans="1:14" ht="13.5" customHeight="1" x14ac:dyDescent="0.25">
      <c r="A34" s="142"/>
      <c r="B34" s="405"/>
      <c r="C34" s="405"/>
      <c r="D34" s="442"/>
      <c r="E34" s="532"/>
      <c r="F34" s="532"/>
      <c r="G34" s="532"/>
      <c r="H34" s="443"/>
      <c r="I34" s="442"/>
      <c r="J34" s="443"/>
      <c r="K34" s="442"/>
      <c r="L34" s="443"/>
      <c r="M34" s="440"/>
      <c r="N34" s="441"/>
    </row>
    <row r="35" spans="1:14" ht="13.5" customHeight="1" x14ac:dyDescent="0.25">
      <c r="A35" s="142"/>
      <c r="B35" s="405"/>
      <c r="C35" s="405"/>
      <c r="D35" s="442"/>
      <c r="E35" s="532"/>
      <c r="F35" s="532"/>
      <c r="G35" s="532"/>
      <c r="H35" s="443"/>
      <c r="I35" s="442"/>
      <c r="J35" s="443"/>
      <c r="K35" s="442"/>
      <c r="L35" s="443"/>
      <c r="M35" s="440"/>
      <c r="N35" s="441"/>
    </row>
    <row r="36" spans="1:14" ht="13.5" customHeight="1" x14ac:dyDescent="0.25">
      <c r="A36" s="142"/>
      <c r="B36" s="405"/>
      <c r="C36" s="405"/>
      <c r="D36" s="442"/>
      <c r="E36" s="532"/>
      <c r="F36" s="532"/>
      <c r="G36" s="532"/>
      <c r="H36" s="443"/>
      <c r="I36" s="442"/>
      <c r="J36" s="443"/>
      <c r="K36" s="442"/>
      <c r="L36" s="443"/>
      <c r="M36" s="440"/>
      <c r="N36" s="441"/>
    </row>
    <row r="37" spans="1:14" ht="13.5" customHeight="1" thickBot="1" x14ac:dyDescent="0.3">
      <c r="A37" s="144"/>
      <c r="B37" s="408"/>
      <c r="C37" s="408"/>
      <c r="D37" s="450"/>
      <c r="E37" s="533"/>
      <c r="F37" s="533"/>
      <c r="G37" s="533"/>
      <c r="H37" s="451"/>
      <c r="I37" s="450"/>
      <c r="J37" s="451"/>
      <c r="K37" s="450"/>
      <c r="L37" s="451"/>
      <c r="M37" s="453"/>
      <c r="N37" s="454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71">
    <mergeCell ref="K39:L39"/>
    <mergeCell ref="M39:N39"/>
    <mergeCell ref="B36:C36"/>
    <mergeCell ref="D36:H36"/>
    <mergeCell ref="I36:J36"/>
    <mergeCell ref="K36:L36"/>
    <mergeCell ref="M36:N36"/>
    <mergeCell ref="B37:C37"/>
    <mergeCell ref="D37:H37"/>
    <mergeCell ref="I37:J37"/>
    <mergeCell ref="K37:L37"/>
    <mergeCell ref="M37:N37"/>
    <mergeCell ref="B34:C34"/>
    <mergeCell ref="D34:H34"/>
    <mergeCell ref="I34:J34"/>
    <mergeCell ref="K34:L34"/>
    <mergeCell ref="M34:N34"/>
    <mergeCell ref="B35:C35"/>
    <mergeCell ref="D35:H35"/>
    <mergeCell ref="I35:J35"/>
    <mergeCell ref="K35:L35"/>
    <mergeCell ref="M35:N35"/>
    <mergeCell ref="B32:C32"/>
    <mergeCell ref="D32:H32"/>
    <mergeCell ref="I32:J32"/>
    <mergeCell ref="K32:L32"/>
    <mergeCell ref="M32:N32"/>
    <mergeCell ref="B33:C33"/>
    <mergeCell ref="D33:H33"/>
    <mergeCell ref="I33:J33"/>
    <mergeCell ref="K33:L33"/>
    <mergeCell ref="M33:N33"/>
    <mergeCell ref="B30:C30"/>
    <mergeCell ref="D30:H30"/>
    <mergeCell ref="I30:J30"/>
    <mergeCell ref="K30:L30"/>
    <mergeCell ref="M30:N30"/>
    <mergeCell ref="B31:C31"/>
    <mergeCell ref="D31:H31"/>
    <mergeCell ref="I31:J31"/>
    <mergeCell ref="K31:L31"/>
    <mergeCell ref="M31:N31"/>
    <mergeCell ref="B28:C28"/>
    <mergeCell ref="D28:H28"/>
    <mergeCell ref="I28:J28"/>
    <mergeCell ref="K28:L28"/>
    <mergeCell ref="M28:N28"/>
    <mergeCell ref="B29:C29"/>
    <mergeCell ref="D29:H29"/>
    <mergeCell ref="I29:J29"/>
    <mergeCell ref="K29:L29"/>
    <mergeCell ref="M29:N29"/>
    <mergeCell ref="B26:C26"/>
    <mergeCell ref="D26:H26"/>
    <mergeCell ref="I26:J26"/>
    <mergeCell ref="K26:L26"/>
    <mergeCell ref="M26:N26"/>
    <mergeCell ref="B27:C27"/>
    <mergeCell ref="D27:H27"/>
    <mergeCell ref="I27:J27"/>
    <mergeCell ref="K27:L27"/>
    <mergeCell ref="M27:N27"/>
    <mergeCell ref="B24:C24"/>
    <mergeCell ref="D24:H24"/>
    <mergeCell ref="I24:J24"/>
    <mergeCell ref="K24:L24"/>
    <mergeCell ref="M24:N24"/>
    <mergeCell ref="B25:C25"/>
    <mergeCell ref="D25:H25"/>
    <mergeCell ref="I25:J25"/>
    <mergeCell ref="K25:L25"/>
    <mergeCell ref="M25:N25"/>
    <mergeCell ref="B22:C22"/>
    <mergeCell ref="D22:H22"/>
    <mergeCell ref="I22:J22"/>
    <mergeCell ref="K22:L22"/>
    <mergeCell ref="M22:N22"/>
    <mergeCell ref="B23:C23"/>
    <mergeCell ref="D23:H23"/>
    <mergeCell ref="I23:J23"/>
    <mergeCell ref="K23:L23"/>
    <mergeCell ref="M23:N23"/>
    <mergeCell ref="B20:C20"/>
    <mergeCell ref="D20:H20"/>
    <mergeCell ref="I20:J20"/>
    <mergeCell ref="K20:L20"/>
    <mergeCell ref="M20:N20"/>
    <mergeCell ref="B21:C21"/>
    <mergeCell ref="D21:H21"/>
    <mergeCell ref="I21:J21"/>
    <mergeCell ref="K21:L21"/>
    <mergeCell ref="M21:N21"/>
    <mergeCell ref="B18:C18"/>
    <mergeCell ref="D18:H18"/>
    <mergeCell ref="I18:J18"/>
    <mergeCell ref="K18:L18"/>
    <mergeCell ref="M18:N18"/>
    <mergeCell ref="B19:C19"/>
    <mergeCell ref="D19:H19"/>
    <mergeCell ref="I19:J19"/>
    <mergeCell ref="K19:L19"/>
    <mergeCell ref="M19:N19"/>
    <mergeCell ref="B16:C16"/>
    <mergeCell ref="D16:H16"/>
    <mergeCell ref="I16:J16"/>
    <mergeCell ref="K16:L16"/>
    <mergeCell ref="M16:N16"/>
    <mergeCell ref="B17:C17"/>
    <mergeCell ref="D17:H17"/>
    <mergeCell ref="I17:J17"/>
    <mergeCell ref="K17:L17"/>
    <mergeCell ref="M17:N17"/>
    <mergeCell ref="B14:C14"/>
    <mergeCell ref="D14:H14"/>
    <mergeCell ref="I14:J14"/>
    <mergeCell ref="K14:L14"/>
    <mergeCell ref="M14:N14"/>
    <mergeCell ref="B15:C15"/>
    <mergeCell ref="D15:H15"/>
    <mergeCell ref="I15:J15"/>
    <mergeCell ref="K15:L15"/>
    <mergeCell ref="M15:N15"/>
    <mergeCell ref="B12:C12"/>
    <mergeCell ref="D12:H12"/>
    <mergeCell ref="I12:J12"/>
    <mergeCell ref="K12:L12"/>
    <mergeCell ref="M12:N12"/>
    <mergeCell ref="B13:C13"/>
    <mergeCell ref="D13:H13"/>
    <mergeCell ref="I13:J13"/>
    <mergeCell ref="K13:L13"/>
    <mergeCell ref="M13:N13"/>
    <mergeCell ref="B10:C10"/>
    <mergeCell ref="D10:H10"/>
    <mergeCell ref="I10:J10"/>
    <mergeCell ref="K10:L10"/>
    <mergeCell ref="M10:N10"/>
    <mergeCell ref="B11:C11"/>
    <mergeCell ref="D11:H11"/>
    <mergeCell ref="I11:J11"/>
    <mergeCell ref="A7:B7"/>
    <mergeCell ref="C7:N7"/>
    <mergeCell ref="A8:N8"/>
    <mergeCell ref="B9:C9"/>
    <mergeCell ref="D9:H9"/>
    <mergeCell ref="I9:J9"/>
    <mergeCell ref="K9:L9"/>
    <mergeCell ref="M9:N9"/>
    <mergeCell ref="K11:L11"/>
    <mergeCell ref="M11:N11"/>
    <mergeCell ref="I6:N6"/>
    <mergeCell ref="I5:J5"/>
    <mergeCell ref="K5:L5"/>
    <mergeCell ref="M5:N5"/>
    <mergeCell ref="G3:H3"/>
    <mergeCell ref="K4:L4"/>
    <mergeCell ref="M4:N4"/>
    <mergeCell ref="I3:J3"/>
    <mergeCell ref="K3:L3"/>
    <mergeCell ref="M3:N3"/>
    <mergeCell ref="I4:J4"/>
    <mergeCell ref="M2:N2"/>
    <mergeCell ref="G6:H6"/>
    <mergeCell ref="G5:H5"/>
    <mergeCell ref="G1:H1"/>
    <mergeCell ref="I1:J1"/>
    <mergeCell ref="G4:H4"/>
    <mergeCell ref="G2:H2"/>
    <mergeCell ref="K1:L1"/>
    <mergeCell ref="I2:J2"/>
    <mergeCell ref="K2:L2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I11:J37" xr:uid="{833C29C1-CA38-4823-907B-ADD474641CF5}">
      <formula1>CoatingsMinus</formula1>
    </dataValidation>
    <dataValidation type="list" errorStyle="warning" allowBlank="1" showInputMessage="1" showErrorMessage="1" errorTitle="Unlisted" error="You have entered an unlisted item.  Please make sure the item entered is correct." sqref="B11:C37" xr:uid="{35D01869-81FF-44E7-83E1-077CCA7F0B75}">
      <formula1>Clips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7916-416A-4603-AB20-4CB5027C52DB}">
  <sheetPr codeName="Sheet77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340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22" t="s">
        <v>239</v>
      </c>
      <c r="C9" s="424"/>
      <c r="D9" s="422" t="s">
        <v>240</v>
      </c>
      <c r="E9" s="423"/>
      <c r="F9" s="423"/>
      <c r="G9" s="423"/>
      <c r="H9" s="424"/>
      <c r="I9" s="416" t="s">
        <v>242</v>
      </c>
      <c r="J9" s="417"/>
      <c r="K9" s="422" t="s">
        <v>1345</v>
      </c>
      <c r="L9" s="424"/>
      <c r="M9" s="423" t="s">
        <v>327</v>
      </c>
      <c r="N9" s="424"/>
    </row>
    <row r="10" spans="1:16" ht="13.5" customHeight="1" x14ac:dyDescent="0.25">
      <c r="A10" s="162"/>
      <c r="B10" s="529"/>
      <c r="C10" s="529"/>
      <c r="D10" s="529"/>
      <c r="E10" s="529"/>
      <c r="F10" s="529"/>
      <c r="G10" s="529"/>
      <c r="H10" s="529"/>
      <c r="I10" s="529"/>
      <c r="J10" s="529"/>
      <c r="K10" s="529"/>
      <c r="L10" s="529"/>
      <c r="M10" s="529"/>
      <c r="N10" s="530"/>
    </row>
    <row r="11" spans="1:16" ht="13.5" customHeight="1" x14ac:dyDescent="0.25">
      <c r="A11" s="142" t="str">
        <f>"@Data"</f>
        <v>@Data</v>
      </c>
      <c r="B11" s="405"/>
      <c r="C11" s="405"/>
      <c r="D11" s="442"/>
      <c r="E11" s="532"/>
      <c r="F11" s="532"/>
      <c r="G11" s="532"/>
      <c r="H11" s="443"/>
      <c r="I11" s="442"/>
      <c r="J11" s="443"/>
      <c r="K11" s="442"/>
      <c r="L11" s="443"/>
      <c r="M11" s="440"/>
      <c r="N11" s="441"/>
    </row>
    <row r="12" spans="1:16" ht="13.5" customHeight="1" x14ac:dyDescent="0.25">
      <c r="A12" s="142"/>
      <c r="B12" s="405"/>
      <c r="C12" s="405"/>
      <c r="D12" s="442"/>
      <c r="E12" s="532"/>
      <c r="F12" s="532"/>
      <c r="G12" s="532"/>
      <c r="H12" s="443"/>
      <c r="I12" s="442"/>
      <c r="J12" s="443"/>
      <c r="K12" s="442"/>
      <c r="L12" s="443"/>
      <c r="M12" s="440"/>
      <c r="N12" s="441"/>
    </row>
    <row r="13" spans="1:16" ht="13.5" customHeight="1" x14ac:dyDescent="0.25">
      <c r="A13" s="142"/>
      <c r="B13" s="405"/>
      <c r="C13" s="405"/>
      <c r="D13" s="442"/>
      <c r="E13" s="532"/>
      <c r="F13" s="532"/>
      <c r="G13" s="532"/>
      <c r="H13" s="443"/>
      <c r="I13" s="442"/>
      <c r="J13" s="443"/>
      <c r="K13" s="442"/>
      <c r="L13" s="443"/>
      <c r="M13" s="440"/>
      <c r="N13" s="441"/>
    </row>
    <row r="14" spans="1:16" ht="13.5" customHeight="1" x14ac:dyDescent="0.25">
      <c r="A14" s="142"/>
      <c r="B14" s="405"/>
      <c r="C14" s="405"/>
      <c r="D14" s="442"/>
      <c r="E14" s="532"/>
      <c r="F14" s="532"/>
      <c r="G14" s="532"/>
      <c r="H14" s="443"/>
      <c r="I14" s="442"/>
      <c r="J14" s="443"/>
      <c r="K14" s="442"/>
      <c r="L14" s="443"/>
      <c r="M14" s="440"/>
      <c r="N14" s="441"/>
    </row>
    <row r="15" spans="1:16" ht="13.5" customHeight="1" x14ac:dyDescent="0.25">
      <c r="A15" s="142"/>
      <c r="B15" s="405"/>
      <c r="C15" s="405"/>
      <c r="D15" s="442"/>
      <c r="E15" s="532"/>
      <c r="F15" s="532"/>
      <c r="G15" s="532"/>
      <c r="H15" s="443"/>
      <c r="I15" s="442"/>
      <c r="J15" s="443"/>
      <c r="K15" s="442"/>
      <c r="L15" s="443"/>
      <c r="M15" s="440"/>
      <c r="N15" s="441"/>
    </row>
    <row r="16" spans="1:16" ht="13.5" customHeight="1" x14ac:dyDescent="0.25">
      <c r="A16" s="142"/>
      <c r="B16" s="405"/>
      <c r="C16" s="405"/>
      <c r="D16" s="442"/>
      <c r="E16" s="532"/>
      <c r="F16" s="532"/>
      <c r="G16" s="532"/>
      <c r="H16" s="443"/>
      <c r="I16" s="442"/>
      <c r="J16" s="443"/>
      <c r="K16" s="442"/>
      <c r="L16" s="443"/>
      <c r="M16" s="440"/>
      <c r="N16" s="441"/>
    </row>
    <row r="17" spans="1:14" ht="13.5" customHeight="1" x14ac:dyDescent="0.25">
      <c r="A17" s="142"/>
      <c r="B17" s="405"/>
      <c r="C17" s="405"/>
      <c r="D17" s="442"/>
      <c r="E17" s="532"/>
      <c r="F17" s="532"/>
      <c r="G17" s="532"/>
      <c r="H17" s="443"/>
      <c r="I17" s="442"/>
      <c r="J17" s="443"/>
      <c r="K17" s="442"/>
      <c r="L17" s="443"/>
      <c r="M17" s="440"/>
      <c r="N17" s="441"/>
    </row>
    <row r="18" spans="1:14" ht="13.5" customHeight="1" x14ac:dyDescent="0.25">
      <c r="A18" s="142"/>
      <c r="B18" s="405"/>
      <c r="C18" s="405"/>
      <c r="D18" s="442"/>
      <c r="E18" s="532"/>
      <c r="F18" s="532"/>
      <c r="G18" s="532"/>
      <c r="H18" s="443"/>
      <c r="I18" s="442"/>
      <c r="J18" s="443"/>
      <c r="K18" s="442"/>
      <c r="L18" s="443"/>
      <c r="M18" s="440"/>
      <c r="N18" s="441"/>
    </row>
    <row r="19" spans="1:14" ht="13.5" customHeight="1" x14ac:dyDescent="0.25">
      <c r="A19" s="142"/>
      <c r="B19" s="405"/>
      <c r="C19" s="405"/>
      <c r="D19" s="442"/>
      <c r="E19" s="532"/>
      <c r="F19" s="532"/>
      <c r="G19" s="532"/>
      <c r="H19" s="443"/>
      <c r="I19" s="442"/>
      <c r="J19" s="443"/>
      <c r="K19" s="442"/>
      <c r="L19" s="443"/>
      <c r="M19" s="440"/>
      <c r="N19" s="441"/>
    </row>
    <row r="20" spans="1:14" ht="13.5" customHeight="1" x14ac:dyDescent="0.25">
      <c r="A20" s="142"/>
      <c r="B20" s="405"/>
      <c r="C20" s="405"/>
      <c r="D20" s="442"/>
      <c r="E20" s="532"/>
      <c r="F20" s="532"/>
      <c r="G20" s="532"/>
      <c r="H20" s="443"/>
      <c r="I20" s="442"/>
      <c r="J20" s="443"/>
      <c r="K20" s="442"/>
      <c r="L20" s="443"/>
      <c r="M20" s="440"/>
      <c r="N20" s="441"/>
    </row>
    <row r="21" spans="1:14" s="2" customFormat="1" ht="13.5" customHeight="1" x14ac:dyDescent="0.25">
      <c r="A21" s="142"/>
      <c r="B21" s="405"/>
      <c r="C21" s="405"/>
      <c r="D21" s="442"/>
      <c r="E21" s="532"/>
      <c r="F21" s="532"/>
      <c r="G21" s="532"/>
      <c r="H21" s="443"/>
      <c r="I21" s="442"/>
      <c r="J21" s="443"/>
      <c r="K21" s="442"/>
      <c r="L21" s="443"/>
      <c r="M21" s="440"/>
      <c r="N21" s="441"/>
    </row>
    <row r="22" spans="1:14" ht="13.5" customHeight="1" x14ac:dyDescent="0.25">
      <c r="A22" s="142"/>
      <c r="B22" s="405"/>
      <c r="C22" s="405"/>
      <c r="D22" s="442"/>
      <c r="E22" s="532"/>
      <c r="F22" s="532"/>
      <c r="G22" s="532"/>
      <c r="H22" s="443"/>
      <c r="I22" s="442"/>
      <c r="J22" s="443"/>
      <c r="K22" s="442"/>
      <c r="L22" s="443"/>
      <c r="M22" s="440"/>
      <c r="N22" s="441"/>
    </row>
    <row r="23" spans="1:14" ht="13.5" customHeight="1" x14ac:dyDescent="0.25">
      <c r="A23" s="142"/>
      <c r="B23" s="405"/>
      <c r="C23" s="405"/>
      <c r="D23" s="442"/>
      <c r="E23" s="532"/>
      <c r="F23" s="532"/>
      <c r="G23" s="532"/>
      <c r="H23" s="443"/>
      <c r="I23" s="442"/>
      <c r="J23" s="443"/>
      <c r="K23" s="442"/>
      <c r="L23" s="443"/>
      <c r="M23" s="440"/>
      <c r="N23" s="441"/>
    </row>
    <row r="24" spans="1:14" ht="13.5" customHeight="1" x14ac:dyDescent="0.25">
      <c r="A24" s="142"/>
      <c r="B24" s="405"/>
      <c r="C24" s="405"/>
      <c r="D24" s="442"/>
      <c r="E24" s="532"/>
      <c r="F24" s="532"/>
      <c r="G24" s="532"/>
      <c r="H24" s="443"/>
      <c r="I24" s="442"/>
      <c r="J24" s="443"/>
      <c r="K24" s="442"/>
      <c r="L24" s="443"/>
      <c r="M24" s="440"/>
      <c r="N24" s="441"/>
    </row>
    <row r="25" spans="1:14" ht="13.5" customHeight="1" x14ac:dyDescent="0.25">
      <c r="A25" s="142"/>
      <c r="B25" s="405"/>
      <c r="C25" s="405"/>
      <c r="D25" s="442"/>
      <c r="E25" s="532"/>
      <c r="F25" s="532"/>
      <c r="G25" s="532"/>
      <c r="H25" s="443"/>
      <c r="I25" s="442"/>
      <c r="J25" s="443"/>
      <c r="K25" s="442"/>
      <c r="L25" s="443"/>
      <c r="M25" s="440"/>
      <c r="N25" s="441"/>
    </row>
    <row r="26" spans="1:14" ht="13.5" customHeight="1" x14ac:dyDescent="0.25">
      <c r="A26" s="142"/>
      <c r="B26" s="405"/>
      <c r="C26" s="405"/>
      <c r="D26" s="442"/>
      <c r="E26" s="532"/>
      <c r="F26" s="532"/>
      <c r="G26" s="532"/>
      <c r="H26" s="443"/>
      <c r="I26" s="442"/>
      <c r="J26" s="443"/>
      <c r="K26" s="442"/>
      <c r="L26" s="443"/>
      <c r="M26" s="440"/>
      <c r="N26" s="441"/>
    </row>
    <row r="27" spans="1:14" ht="13.5" customHeight="1" x14ac:dyDescent="0.25">
      <c r="A27" s="142"/>
      <c r="B27" s="405"/>
      <c r="C27" s="405"/>
      <c r="D27" s="442"/>
      <c r="E27" s="532"/>
      <c r="F27" s="532"/>
      <c r="G27" s="532"/>
      <c r="H27" s="443"/>
      <c r="I27" s="442"/>
      <c r="J27" s="443"/>
      <c r="K27" s="442"/>
      <c r="L27" s="443"/>
      <c r="M27" s="440"/>
      <c r="N27" s="441"/>
    </row>
    <row r="28" spans="1:14" ht="13.5" customHeight="1" x14ac:dyDescent="0.25">
      <c r="A28" s="142"/>
      <c r="B28" s="405"/>
      <c r="C28" s="405"/>
      <c r="D28" s="442"/>
      <c r="E28" s="532"/>
      <c r="F28" s="532"/>
      <c r="G28" s="532"/>
      <c r="H28" s="443"/>
      <c r="I28" s="442"/>
      <c r="J28" s="443"/>
      <c r="K28" s="442"/>
      <c r="L28" s="443"/>
      <c r="M28" s="440"/>
      <c r="N28" s="441"/>
    </row>
    <row r="29" spans="1:14" ht="13.5" customHeight="1" x14ac:dyDescent="0.25">
      <c r="A29" s="142"/>
      <c r="B29" s="405"/>
      <c r="C29" s="405"/>
      <c r="D29" s="442"/>
      <c r="E29" s="532"/>
      <c r="F29" s="532"/>
      <c r="G29" s="532"/>
      <c r="H29" s="443"/>
      <c r="I29" s="442"/>
      <c r="J29" s="443"/>
      <c r="K29" s="442"/>
      <c r="L29" s="443"/>
      <c r="M29" s="440"/>
      <c r="N29" s="441"/>
    </row>
    <row r="30" spans="1:14" ht="13.5" customHeight="1" x14ac:dyDescent="0.25">
      <c r="A30" s="142"/>
      <c r="B30" s="405"/>
      <c r="C30" s="405"/>
      <c r="D30" s="442"/>
      <c r="E30" s="532"/>
      <c r="F30" s="532"/>
      <c r="G30" s="532"/>
      <c r="H30" s="443"/>
      <c r="I30" s="442"/>
      <c r="J30" s="443"/>
      <c r="K30" s="442"/>
      <c r="L30" s="443"/>
      <c r="M30" s="440"/>
      <c r="N30" s="441"/>
    </row>
    <row r="31" spans="1:14" ht="13.5" customHeight="1" x14ac:dyDescent="0.25">
      <c r="A31" s="142"/>
      <c r="B31" s="405"/>
      <c r="C31" s="405"/>
      <c r="D31" s="442"/>
      <c r="E31" s="532"/>
      <c r="F31" s="532"/>
      <c r="G31" s="532"/>
      <c r="H31" s="443"/>
      <c r="I31" s="442"/>
      <c r="J31" s="443"/>
      <c r="K31" s="442"/>
      <c r="L31" s="443"/>
      <c r="M31" s="440"/>
      <c r="N31" s="441"/>
    </row>
    <row r="32" spans="1:14" ht="13.5" customHeight="1" x14ac:dyDescent="0.25">
      <c r="A32" s="142"/>
      <c r="B32" s="405"/>
      <c r="C32" s="405"/>
      <c r="D32" s="442"/>
      <c r="E32" s="532"/>
      <c r="F32" s="532"/>
      <c r="G32" s="532"/>
      <c r="H32" s="443"/>
      <c r="I32" s="442"/>
      <c r="J32" s="443"/>
      <c r="K32" s="442"/>
      <c r="L32" s="443"/>
      <c r="M32" s="440"/>
      <c r="N32" s="441"/>
    </row>
    <row r="33" spans="1:14" ht="13.5" customHeight="1" x14ac:dyDescent="0.25">
      <c r="A33" s="142"/>
      <c r="B33" s="405"/>
      <c r="C33" s="405"/>
      <c r="D33" s="442"/>
      <c r="E33" s="532"/>
      <c r="F33" s="532"/>
      <c r="G33" s="532"/>
      <c r="H33" s="443"/>
      <c r="I33" s="442"/>
      <c r="J33" s="443"/>
      <c r="K33" s="442"/>
      <c r="L33" s="443"/>
      <c r="M33" s="440"/>
      <c r="N33" s="441"/>
    </row>
    <row r="34" spans="1:14" ht="13.5" customHeight="1" x14ac:dyDescent="0.25">
      <c r="A34" s="142"/>
      <c r="B34" s="405"/>
      <c r="C34" s="405"/>
      <c r="D34" s="442"/>
      <c r="E34" s="532"/>
      <c r="F34" s="532"/>
      <c r="G34" s="532"/>
      <c r="H34" s="443"/>
      <c r="I34" s="442"/>
      <c r="J34" s="443"/>
      <c r="K34" s="442"/>
      <c r="L34" s="443"/>
      <c r="M34" s="440"/>
      <c r="N34" s="441"/>
    </row>
    <row r="35" spans="1:14" ht="13.5" customHeight="1" x14ac:dyDescent="0.25">
      <c r="A35" s="142"/>
      <c r="B35" s="405"/>
      <c r="C35" s="405"/>
      <c r="D35" s="442"/>
      <c r="E35" s="532"/>
      <c r="F35" s="532"/>
      <c r="G35" s="532"/>
      <c r="H35" s="443"/>
      <c r="I35" s="442"/>
      <c r="J35" s="443"/>
      <c r="K35" s="442"/>
      <c r="L35" s="443"/>
      <c r="M35" s="440"/>
      <c r="N35" s="441"/>
    </row>
    <row r="36" spans="1:14" ht="13.5" customHeight="1" x14ac:dyDescent="0.25">
      <c r="A36" s="142"/>
      <c r="B36" s="405"/>
      <c r="C36" s="405"/>
      <c r="D36" s="442"/>
      <c r="E36" s="532"/>
      <c r="F36" s="532"/>
      <c r="G36" s="532"/>
      <c r="H36" s="443"/>
      <c r="I36" s="442"/>
      <c r="J36" s="443"/>
      <c r="K36" s="442"/>
      <c r="L36" s="443"/>
      <c r="M36" s="440"/>
      <c r="N36" s="441"/>
    </row>
    <row r="37" spans="1:14" ht="13.5" customHeight="1" thickBot="1" x14ac:dyDescent="0.3">
      <c r="A37" s="144"/>
      <c r="B37" s="408"/>
      <c r="C37" s="408"/>
      <c r="D37" s="450"/>
      <c r="E37" s="533"/>
      <c r="F37" s="533"/>
      <c r="G37" s="533"/>
      <c r="H37" s="451"/>
      <c r="I37" s="450"/>
      <c r="J37" s="451"/>
      <c r="K37" s="450"/>
      <c r="L37" s="451"/>
      <c r="M37" s="453"/>
      <c r="N37" s="454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71">
    <mergeCell ref="K39:L39"/>
    <mergeCell ref="M39:N39"/>
    <mergeCell ref="B36:C36"/>
    <mergeCell ref="D36:H36"/>
    <mergeCell ref="I36:J36"/>
    <mergeCell ref="K36:L36"/>
    <mergeCell ref="M36:N36"/>
    <mergeCell ref="B37:C37"/>
    <mergeCell ref="D37:H37"/>
    <mergeCell ref="I37:J37"/>
    <mergeCell ref="K37:L37"/>
    <mergeCell ref="M37:N37"/>
    <mergeCell ref="B34:C34"/>
    <mergeCell ref="D34:H34"/>
    <mergeCell ref="I34:J34"/>
    <mergeCell ref="K34:L34"/>
    <mergeCell ref="M34:N34"/>
    <mergeCell ref="B35:C35"/>
    <mergeCell ref="D35:H35"/>
    <mergeCell ref="I35:J35"/>
    <mergeCell ref="K35:L35"/>
    <mergeCell ref="M35:N35"/>
    <mergeCell ref="B32:C32"/>
    <mergeCell ref="D32:H32"/>
    <mergeCell ref="I32:J32"/>
    <mergeCell ref="K32:L32"/>
    <mergeCell ref="M32:N32"/>
    <mergeCell ref="B33:C33"/>
    <mergeCell ref="D33:H33"/>
    <mergeCell ref="I33:J33"/>
    <mergeCell ref="K33:L33"/>
    <mergeCell ref="M33:N33"/>
    <mergeCell ref="B30:C30"/>
    <mergeCell ref="D30:H30"/>
    <mergeCell ref="I30:J30"/>
    <mergeCell ref="K30:L30"/>
    <mergeCell ref="M30:N30"/>
    <mergeCell ref="B31:C31"/>
    <mergeCell ref="D31:H31"/>
    <mergeCell ref="I31:J31"/>
    <mergeCell ref="K31:L31"/>
    <mergeCell ref="M31:N31"/>
    <mergeCell ref="B28:C28"/>
    <mergeCell ref="D28:H28"/>
    <mergeCell ref="I28:J28"/>
    <mergeCell ref="K28:L28"/>
    <mergeCell ref="M28:N28"/>
    <mergeCell ref="B29:C29"/>
    <mergeCell ref="D29:H29"/>
    <mergeCell ref="I29:J29"/>
    <mergeCell ref="K29:L29"/>
    <mergeCell ref="M29:N29"/>
    <mergeCell ref="B26:C26"/>
    <mergeCell ref="D26:H26"/>
    <mergeCell ref="I26:J26"/>
    <mergeCell ref="K26:L26"/>
    <mergeCell ref="M26:N26"/>
    <mergeCell ref="B27:C27"/>
    <mergeCell ref="D27:H27"/>
    <mergeCell ref="I27:J27"/>
    <mergeCell ref="K27:L27"/>
    <mergeCell ref="M27:N27"/>
    <mergeCell ref="B24:C24"/>
    <mergeCell ref="D24:H24"/>
    <mergeCell ref="I24:J24"/>
    <mergeCell ref="K24:L24"/>
    <mergeCell ref="M24:N24"/>
    <mergeCell ref="B25:C25"/>
    <mergeCell ref="D25:H25"/>
    <mergeCell ref="I25:J25"/>
    <mergeCell ref="K25:L25"/>
    <mergeCell ref="M25:N25"/>
    <mergeCell ref="B22:C22"/>
    <mergeCell ref="D22:H22"/>
    <mergeCell ref="I22:J22"/>
    <mergeCell ref="K22:L22"/>
    <mergeCell ref="M22:N22"/>
    <mergeCell ref="B23:C23"/>
    <mergeCell ref="D23:H23"/>
    <mergeCell ref="I23:J23"/>
    <mergeCell ref="K23:L23"/>
    <mergeCell ref="M23:N23"/>
    <mergeCell ref="B20:C20"/>
    <mergeCell ref="D20:H20"/>
    <mergeCell ref="I20:J20"/>
    <mergeCell ref="K20:L20"/>
    <mergeCell ref="M20:N20"/>
    <mergeCell ref="B21:C21"/>
    <mergeCell ref="D21:H21"/>
    <mergeCell ref="I21:J21"/>
    <mergeCell ref="K21:L21"/>
    <mergeCell ref="M21:N21"/>
    <mergeCell ref="B18:C18"/>
    <mergeCell ref="D18:H18"/>
    <mergeCell ref="I18:J18"/>
    <mergeCell ref="K18:L18"/>
    <mergeCell ref="M18:N18"/>
    <mergeCell ref="B19:C19"/>
    <mergeCell ref="D19:H19"/>
    <mergeCell ref="I19:J19"/>
    <mergeCell ref="K19:L19"/>
    <mergeCell ref="M19:N19"/>
    <mergeCell ref="B16:C16"/>
    <mergeCell ref="D16:H16"/>
    <mergeCell ref="I16:J16"/>
    <mergeCell ref="K16:L16"/>
    <mergeCell ref="M16:N16"/>
    <mergeCell ref="B17:C17"/>
    <mergeCell ref="D17:H17"/>
    <mergeCell ref="I17:J17"/>
    <mergeCell ref="K17:L17"/>
    <mergeCell ref="M17:N17"/>
    <mergeCell ref="B14:C14"/>
    <mergeCell ref="D14:H14"/>
    <mergeCell ref="I14:J14"/>
    <mergeCell ref="K14:L14"/>
    <mergeCell ref="M14:N14"/>
    <mergeCell ref="B15:C15"/>
    <mergeCell ref="D15:H15"/>
    <mergeCell ref="I15:J15"/>
    <mergeCell ref="K15:L15"/>
    <mergeCell ref="M15:N15"/>
    <mergeCell ref="B12:C12"/>
    <mergeCell ref="D12:H12"/>
    <mergeCell ref="I12:J12"/>
    <mergeCell ref="K12:L12"/>
    <mergeCell ref="M12:N12"/>
    <mergeCell ref="B13:C13"/>
    <mergeCell ref="D13:H13"/>
    <mergeCell ref="I13:J13"/>
    <mergeCell ref="K13:L13"/>
    <mergeCell ref="M13:N13"/>
    <mergeCell ref="B10:C10"/>
    <mergeCell ref="D10:H10"/>
    <mergeCell ref="I10:J10"/>
    <mergeCell ref="K10:L10"/>
    <mergeCell ref="M10:N10"/>
    <mergeCell ref="B11:C11"/>
    <mergeCell ref="D11:H11"/>
    <mergeCell ref="I11:J11"/>
    <mergeCell ref="A7:B7"/>
    <mergeCell ref="C7:N7"/>
    <mergeCell ref="A8:N8"/>
    <mergeCell ref="B9:C9"/>
    <mergeCell ref="D9:H9"/>
    <mergeCell ref="I9:J9"/>
    <mergeCell ref="K9:L9"/>
    <mergeCell ref="M9:N9"/>
    <mergeCell ref="K11:L11"/>
    <mergeCell ref="M11:N11"/>
    <mergeCell ref="I6:N6"/>
    <mergeCell ref="I5:J5"/>
    <mergeCell ref="K5:L5"/>
    <mergeCell ref="M5:N5"/>
    <mergeCell ref="G3:H3"/>
    <mergeCell ref="K4:L4"/>
    <mergeCell ref="M4:N4"/>
    <mergeCell ref="I3:J3"/>
    <mergeCell ref="K3:L3"/>
    <mergeCell ref="M3:N3"/>
    <mergeCell ref="I4:J4"/>
    <mergeCell ref="M2:N2"/>
    <mergeCell ref="G6:H6"/>
    <mergeCell ref="G5:H5"/>
    <mergeCell ref="G1:H1"/>
    <mergeCell ref="I1:J1"/>
    <mergeCell ref="G4:H4"/>
    <mergeCell ref="G2:H2"/>
    <mergeCell ref="K1:L1"/>
    <mergeCell ref="I2:J2"/>
    <mergeCell ref="K2:L2"/>
  </mergeCells>
  <phoneticPr fontId="0" type="noConversion"/>
  <dataValidations count="2">
    <dataValidation type="list" allowBlank="1" showInputMessage="1" showErrorMessage="1" sqref="I11:J37" xr:uid="{DF052098-021B-4FF2-B2AA-F8BFD4D66B66}">
      <formula1>PGColor</formula1>
    </dataValidation>
    <dataValidation type="list" errorStyle="warning" allowBlank="1" showInputMessage="1" showErrorMessage="1" errorTitle="Unlisted" error="You have entered an unlisted item.  Please make sure the item entered is correct." sqref="B11:C37" xr:uid="{DD060538-09B3-4EEB-8E82-92296F942202}">
      <formula1>GalvClips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7E51-4952-4411-9071-2023E583B620}">
  <sheetPr codeName="Sheet78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339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16" t="s">
        <v>353</v>
      </c>
      <c r="C9" s="417"/>
      <c r="D9" s="416" t="s">
        <v>240</v>
      </c>
      <c r="E9" s="421"/>
      <c r="F9" s="421"/>
      <c r="G9" s="417"/>
      <c r="H9" s="38" t="s">
        <v>273</v>
      </c>
      <c r="I9" s="423" t="s">
        <v>242</v>
      </c>
      <c r="J9" s="424"/>
      <c r="K9" s="422" t="s">
        <v>241</v>
      </c>
      <c r="L9" s="424"/>
      <c r="M9" s="423" t="s">
        <v>327</v>
      </c>
      <c r="N9" s="424"/>
    </row>
    <row r="10" spans="1:16" ht="13.5" customHeight="1" x14ac:dyDescent="0.25">
      <c r="A10" s="162"/>
      <c r="B10" s="538"/>
      <c r="C10" s="538"/>
      <c r="D10" s="535"/>
      <c r="E10" s="536"/>
      <c r="F10" s="536"/>
      <c r="G10" s="537"/>
      <c r="H10" s="192"/>
      <c r="I10" s="534"/>
      <c r="J10" s="534"/>
      <c r="K10" s="529"/>
      <c r="L10" s="529"/>
      <c r="M10" s="529"/>
      <c r="N10" s="530"/>
    </row>
    <row r="11" spans="1:16" ht="13.5" customHeight="1" x14ac:dyDescent="0.25">
      <c r="A11" s="142" t="str">
        <f>"@Data"</f>
        <v>@Data</v>
      </c>
      <c r="B11" s="405"/>
      <c r="C11" s="405"/>
      <c r="D11" s="447"/>
      <c r="E11" s="440"/>
      <c r="F11" s="440"/>
      <c r="G11" s="469"/>
      <c r="H11" s="172"/>
      <c r="I11" s="406"/>
      <c r="J11" s="406"/>
      <c r="K11" s="405"/>
      <c r="L11" s="405"/>
      <c r="M11" s="405"/>
      <c r="N11" s="407"/>
    </row>
    <row r="12" spans="1:16" ht="13.5" customHeight="1" x14ac:dyDescent="0.25">
      <c r="A12" s="142"/>
      <c r="B12" s="405"/>
      <c r="C12" s="405"/>
      <c r="D12" s="447"/>
      <c r="E12" s="440"/>
      <c r="F12" s="440"/>
      <c r="G12" s="469"/>
      <c r="H12" s="172"/>
      <c r="I12" s="406"/>
      <c r="J12" s="406"/>
      <c r="K12" s="405"/>
      <c r="L12" s="405"/>
      <c r="M12" s="405"/>
      <c r="N12" s="407"/>
    </row>
    <row r="13" spans="1:16" ht="13.5" customHeight="1" x14ac:dyDescent="0.25">
      <c r="A13" s="142"/>
      <c r="B13" s="405"/>
      <c r="C13" s="405"/>
      <c r="D13" s="447"/>
      <c r="E13" s="440"/>
      <c r="F13" s="440"/>
      <c r="G13" s="469"/>
      <c r="H13" s="172"/>
      <c r="I13" s="406"/>
      <c r="J13" s="406"/>
      <c r="K13" s="405"/>
      <c r="L13" s="405"/>
      <c r="M13" s="405"/>
      <c r="N13" s="407"/>
    </row>
    <row r="14" spans="1:16" ht="13.5" customHeight="1" x14ac:dyDescent="0.25">
      <c r="A14" s="142"/>
      <c r="B14" s="405"/>
      <c r="C14" s="405"/>
      <c r="D14" s="447"/>
      <c r="E14" s="440"/>
      <c r="F14" s="440"/>
      <c r="G14" s="469"/>
      <c r="H14" s="172"/>
      <c r="I14" s="406"/>
      <c r="J14" s="406"/>
      <c r="K14" s="405"/>
      <c r="L14" s="405"/>
      <c r="M14" s="405"/>
      <c r="N14" s="407"/>
    </row>
    <row r="15" spans="1:16" ht="13.5" customHeight="1" x14ac:dyDescent="0.25">
      <c r="A15" s="142"/>
      <c r="B15" s="405"/>
      <c r="C15" s="405"/>
      <c r="D15" s="447"/>
      <c r="E15" s="440"/>
      <c r="F15" s="440"/>
      <c r="G15" s="469"/>
      <c r="H15" s="172"/>
      <c r="I15" s="406"/>
      <c r="J15" s="406"/>
      <c r="K15" s="405"/>
      <c r="L15" s="405"/>
      <c r="M15" s="405"/>
      <c r="N15" s="407"/>
    </row>
    <row r="16" spans="1:16" ht="13.5" customHeight="1" x14ac:dyDescent="0.25">
      <c r="A16" s="142"/>
      <c r="B16" s="405"/>
      <c r="C16" s="405"/>
      <c r="D16" s="447"/>
      <c r="E16" s="440"/>
      <c r="F16" s="440"/>
      <c r="G16" s="469"/>
      <c r="H16" s="172"/>
      <c r="I16" s="406"/>
      <c r="J16" s="406"/>
      <c r="K16" s="405"/>
      <c r="L16" s="405"/>
      <c r="M16" s="405"/>
      <c r="N16" s="407"/>
    </row>
    <row r="17" spans="1:14" ht="13.5" customHeight="1" x14ac:dyDescent="0.25">
      <c r="A17" s="142"/>
      <c r="B17" s="405"/>
      <c r="C17" s="405"/>
      <c r="D17" s="447"/>
      <c r="E17" s="440"/>
      <c r="F17" s="440"/>
      <c r="G17" s="469"/>
      <c r="H17" s="172"/>
      <c r="I17" s="406"/>
      <c r="J17" s="406"/>
      <c r="K17" s="405"/>
      <c r="L17" s="405"/>
      <c r="M17" s="405"/>
      <c r="N17" s="407"/>
    </row>
    <row r="18" spans="1:14" ht="13.5" customHeight="1" x14ac:dyDescent="0.25">
      <c r="A18" s="142"/>
      <c r="B18" s="405"/>
      <c r="C18" s="405"/>
      <c r="D18" s="447"/>
      <c r="E18" s="440"/>
      <c r="F18" s="440"/>
      <c r="G18" s="469"/>
      <c r="H18" s="172"/>
      <c r="I18" s="406"/>
      <c r="J18" s="406"/>
      <c r="K18" s="405"/>
      <c r="L18" s="405"/>
      <c r="M18" s="405"/>
      <c r="N18" s="407"/>
    </row>
    <row r="19" spans="1:14" ht="13.5" customHeight="1" x14ac:dyDescent="0.25">
      <c r="A19" s="142"/>
      <c r="B19" s="405"/>
      <c r="C19" s="405"/>
      <c r="D19" s="447"/>
      <c r="E19" s="440"/>
      <c r="F19" s="440"/>
      <c r="G19" s="469"/>
      <c r="H19" s="172"/>
      <c r="I19" s="406"/>
      <c r="J19" s="406"/>
      <c r="K19" s="405"/>
      <c r="L19" s="405"/>
      <c r="M19" s="405"/>
      <c r="N19" s="407"/>
    </row>
    <row r="20" spans="1:14" ht="13.5" customHeight="1" x14ac:dyDescent="0.25">
      <c r="A20" s="142"/>
      <c r="B20" s="405"/>
      <c r="C20" s="405"/>
      <c r="D20" s="447"/>
      <c r="E20" s="440"/>
      <c r="F20" s="440"/>
      <c r="G20" s="469"/>
      <c r="H20" s="172"/>
      <c r="I20" s="406"/>
      <c r="J20" s="406"/>
      <c r="K20" s="405"/>
      <c r="L20" s="405"/>
      <c r="M20" s="405"/>
      <c r="N20" s="407"/>
    </row>
    <row r="21" spans="1:14" s="2" customFormat="1" ht="13.5" customHeight="1" x14ac:dyDescent="0.25">
      <c r="A21" s="142"/>
      <c r="B21" s="405"/>
      <c r="C21" s="405"/>
      <c r="D21" s="447"/>
      <c r="E21" s="440"/>
      <c r="F21" s="440"/>
      <c r="G21" s="469"/>
      <c r="H21" s="172"/>
      <c r="I21" s="406"/>
      <c r="J21" s="406"/>
      <c r="K21" s="405"/>
      <c r="L21" s="405"/>
      <c r="M21" s="405"/>
      <c r="N21" s="407"/>
    </row>
    <row r="22" spans="1:14" ht="13.5" customHeight="1" x14ac:dyDescent="0.25">
      <c r="A22" s="142"/>
      <c r="B22" s="405"/>
      <c r="C22" s="405"/>
      <c r="D22" s="447"/>
      <c r="E22" s="440"/>
      <c r="F22" s="440"/>
      <c r="G22" s="469"/>
      <c r="H22" s="172"/>
      <c r="I22" s="406"/>
      <c r="J22" s="406"/>
      <c r="K22" s="405"/>
      <c r="L22" s="405"/>
      <c r="M22" s="405"/>
      <c r="N22" s="407"/>
    </row>
    <row r="23" spans="1:14" ht="13.5" customHeight="1" x14ac:dyDescent="0.25">
      <c r="A23" s="142"/>
      <c r="B23" s="405"/>
      <c r="C23" s="405"/>
      <c r="D23" s="447"/>
      <c r="E23" s="440"/>
      <c r="F23" s="440"/>
      <c r="G23" s="469"/>
      <c r="H23" s="172"/>
      <c r="I23" s="406"/>
      <c r="J23" s="406"/>
      <c r="K23" s="405"/>
      <c r="L23" s="405"/>
      <c r="M23" s="405"/>
      <c r="N23" s="407"/>
    </row>
    <row r="24" spans="1:14" ht="13.5" customHeight="1" x14ac:dyDescent="0.25">
      <c r="A24" s="142"/>
      <c r="B24" s="405"/>
      <c r="C24" s="405"/>
      <c r="D24" s="447"/>
      <c r="E24" s="440"/>
      <c r="F24" s="440"/>
      <c r="G24" s="469"/>
      <c r="H24" s="172"/>
      <c r="I24" s="406"/>
      <c r="J24" s="406"/>
      <c r="K24" s="405"/>
      <c r="L24" s="405"/>
      <c r="M24" s="405"/>
      <c r="N24" s="407"/>
    </row>
    <row r="25" spans="1:14" ht="13.5" customHeight="1" x14ac:dyDescent="0.25">
      <c r="A25" s="142"/>
      <c r="B25" s="405"/>
      <c r="C25" s="405"/>
      <c r="D25" s="447"/>
      <c r="E25" s="440"/>
      <c r="F25" s="440"/>
      <c r="G25" s="469"/>
      <c r="H25" s="172"/>
      <c r="I25" s="406"/>
      <c r="J25" s="406"/>
      <c r="K25" s="405"/>
      <c r="L25" s="405"/>
      <c r="M25" s="405"/>
      <c r="N25" s="407"/>
    </row>
    <row r="26" spans="1:14" ht="13.5" customHeight="1" x14ac:dyDescent="0.25">
      <c r="A26" s="142"/>
      <c r="B26" s="405"/>
      <c r="C26" s="405"/>
      <c r="D26" s="447"/>
      <c r="E26" s="440"/>
      <c r="F26" s="440"/>
      <c r="G26" s="469"/>
      <c r="H26" s="172"/>
      <c r="I26" s="406"/>
      <c r="J26" s="406"/>
      <c r="K26" s="405"/>
      <c r="L26" s="405"/>
      <c r="M26" s="405"/>
      <c r="N26" s="407"/>
    </row>
    <row r="27" spans="1:14" ht="13.5" customHeight="1" x14ac:dyDescent="0.25">
      <c r="A27" s="142"/>
      <c r="B27" s="405"/>
      <c r="C27" s="405"/>
      <c r="D27" s="447"/>
      <c r="E27" s="440"/>
      <c r="F27" s="440"/>
      <c r="G27" s="469"/>
      <c r="H27" s="172"/>
      <c r="I27" s="406"/>
      <c r="J27" s="406"/>
      <c r="K27" s="405"/>
      <c r="L27" s="405"/>
      <c r="M27" s="405"/>
      <c r="N27" s="407"/>
    </row>
    <row r="28" spans="1:14" ht="13.5" customHeight="1" x14ac:dyDescent="0.25">
      <c r="A28" s="142"/>
      <c r="B28" s="405"/>
      <c r="C28" s="405"/>
      <c r="D28" s="447"/>
      <c r="E28" s="440"/>
      <c r="F28" s="440"/>
      <c r="G28" s="469"/>
      <c r="H28" s="172"/>
      <c r="I28" s="406"/>
      <c r="J28" s="406"/>
      <c r="K28" s="405"/>
      <c r="L28" s="405"/>
      <c r="M28" s="405"/>
      <c r="N28" s="407"/>
    </row>
    <row r="29" spans="1:14" ht="13.5" customHeight="1" x14ac:dyDescent="0.25">
      <c r="A29" s="142"/>
      <c r="B29" s="405"/>
      <c r="C29" s="405"/>
      <c r="D29" s="447"/>
      <c r="E29" s="440"/>
      <c r="F29" s="440"/>
      <c r="G29" s="469"/>
      <c r="H29" s="172"/>
      <c r="I29" s="406"/>
      <c r="J29" s="406"/>
      <c r="K29" s="405"/>
      <c r="L29" s="405"/>
      <c r="M29" s="405"/>
      <c r="N29" s="407"/>
    </row>
    <row r="30" spans="1:14" ht="13.5" customHeight="1" x14ac:dyDescent="0.25">
      <c r="A30" s="142"/>
      <c r="B30" s="405"/>
      <c r="C30" s="405"/>
      <c r="D30" s="447"/>
      <c r="E30" s="440"/>
      <c r="F30" s="440"/>
      <c r="G30" s="469"/>
      <c r="H30" s="172"/>
      <c r="I30" s="406"/>
      <c r="J30" s="406"/>
      <c r="K30" s="405"/>
      <c r="L30" s="405"/>
      <c r="M30" s="405"/>
      <c r="N30" s="407"/>
    </row>
    <row r="31" spans="1:14" ht="13.5" customHeight="1" x14ac:dyDescent="0.25">
      <c r="A31" s="142"/>
      <c r="B31" s="405"/>
      <c r="C31" s="405"/>
      <c r="D31" s="447"/>
      <c r="E31" s="440"/>
      <c r="F31" s="440"/>
      <c r="G31" s="469"/>
      <c r="H31" s="172"/>
      <c r="I31" s="406"/>
      <c r="J31" s="406"/>
      <c r="K31" s="405"/>
      <c r="L31" s="405"/>
      <c r="M31" s="405"/>
      <c r="N31" s="407"/>
    </row>
    <row r="32" spans="1:14" ht="13.5" customHeight="1" x14ac:dyDescent="0.25">
      <c r="A32" s="142"/>
      <c r="B32" s="405"/>
      <c r="C32" s="405"/>
      <c r="D32" s="447"/>
      <c r="E32" s="440"/>
      <c r="F32" s="440"/>
      <c r="G32" s="469"/>
      <c r="H32" s="172"/>
      <c r="I32" s="406"/>
      <c r="J32" s="406"/>
      <c r="K32" s="405"/>
      <c r="L32" s="405"/>
      <c r="M32" s="405"/>
      <c r="N32" s="407"/>
    </row>
    <row r="33" spans="1:14" ht="13.5" customHeight="1" x14ac:dyDescent="0.25">
      <c r="A33" s="142"/>
      <c r="B33" s="405"/>
      <c r="C33" s="405"/>
      <c r="D33" s="447"/>
      <c r="E33" s="440"/>
      <c r="F33" s="440"/>
      <c r="G33" s="469"/>
      <c r="H33" s="172"/>
      <c r="I33" s="406"/>
      <c r="J33" s="406"/>
      <c r="K33" s="405"/>
      <c r="L33" s="405"/>
      <c r="M33" s="405"/>
      <c r="N33" s="407"/>
    </row>
    <row r="34" spans="1:14" ht="13.5" customHeight="1" x14ac:dyDescent="0.25">
      <c r="A34" s="142"/>
      <c r="B34" s="405"/>
      <c r="C34" s="405"/>
      <c r="D34" s="447"/>
      <c r="E34" s="440"/>
      <c r="F34" s="440"/>
      <c r="G34" s="469"/>
      <c r="H34" s="172"/>
      <c r="I34" s="406"/>
      <c r="J34" s="406"/>
      <c r="K34" s="405"/>
      <c r="L34" s="405"/>
      <c r="M34" s="405"/>
      <c r="N34" s="407"/>
    </row>
    <row r="35" spans="1:14" ht="13.5" customHeight="1" x14ac:dyDescent="0.25">
      <c r="A35" s="142"/>
      <c r="B35" s="405"/>
      <c r="C35" s="405"/>
      <c r="D35" s="447"/>
      <c r="E35" s="440"/>
      <c r="F35" s="440"/>
      <c r="G35" s="469"/>
      <c r="H35" s="172"/>
      <c r="I35" s="406"/>
      <c r="J35" s="406"/>
      <c r="K35" s="405"/>
      <c r="L35" s="405"/>
      <c r="M35" s="405"/>
      <c r="N35" s="407"/>
    </row>
    <row r="36" spans="1:14" ht="13.5" customHeight="1" x14ac:dyDescent="0.25">
      <c r="A36" s="142"/>
      <c r="B36" s="405"/>
      <c r="C36" s="405"/>
      <c r="D36" s="447"/>
      <c r="E36" s="440"/>
      <c r="F36" s="440"/>
      <c r="G36" s="469"/>
      <c r="H36" s="172"/>
      <c r="I36" s="406"/>
      <c r="J36" s="406"/>
      <c r="K36" s="405"/>
      <c r="L36" s="405"/>
      <c r="M36" s="405"/>
      <c r="N36" s="407"/>
    </row>
    <row r="37" spans="1:14" ht="13.5" customHeight="1" thickBot="1" x14ac:dyDescent="0.3">
      <c r="A37" s="144"/>
      <c r="B37" s="408"/>
      <c r="C37" s="408"/>
      <c r="D37" s="466"/>
      <c r="E37" s="453"/>
      <c r="F37" s="453"/>
      <c r="G37" s="470"/>
      <c r="H37" s="173"/>
      <c r="I37" s="409"/>
      <c r="J37" s="409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71">
    <mergeCell ref="K39:L39"/>
    <mergeCell ref="M39:N39"/>
    <mergeCell ref="M36:N36"/>
    <mergeCell ref="K34:L34"/>
    <mergeCell ref="K35:L35"/>
    <mergeCell ref="M37:N37"/>
    <mergeCell ref="B34:C34"/>
    <mergeCell ref="I36:J36"/>
    <mergeCell ref="B32:C32"/>
    <mergeCell ref="D32:G32"/>
    <mergeCell ref="B33:C33"/>
    <mergeCell ref="D33:G33"/>
    <mergeCell ref="D35:G35"/>
    <mergeCell ref="I35:J35"/>
    <mergeCell ref="D34:G34"/>
    <mergeCell ref="B37:C37"/>
    <mergeCell ref="D37:G37"/>
    <mergeCell ref="M34:N34"/>
    <mergeCell ref="M35:N35"/>
    <mergeCell ref="I37:J37"/>
    <mergeCell ref="K37:L37"/>
    <mergeCell ref="K36:L36"/>
    <mergeCell ref="B36:C36"/>
    <mergeCell ref="D36:G36"/>
    <mergeCell ref="B35:C35"/>
    <mergeCell ref="I30:J30"/>
    <mergeCell ref="K30:L30"/>
    <mergeCell ref="M32:N32"/>
    <mergeCell ref="I34:J34"/>
    <mergeCell ref="I33:J33"/>
    <mergeCell ref="M33:N33"/>
    <mergeCell ref="K33:L33"/>
    <mergeCell ref="I31:J31"/>
    <mergeCell ref="K31:L31"/>
    <mergeCell ref="B28:C28"/>
    <mergeCell ref="D28:G28"/>
    <mergeCell ref="I32:J32"/>
    <mergeCell ref="K32:L32"/>
    <mergeCell ref="I28:J28"/>
    <mergeCell ref="K28:L28"/>
    <mergeCell ref="I29:J29"/>
    <mergeCell ref="K29:L29"/>
    <mergeCell ref="B29:C29"/>
    <mergeCell ref="D29:G29"/>
    <mergeCell ref="M26:N26"/>
    <mergeCell ref="M27:N27"/>
    <mergeCell ref="B31:C31"/>
    <mergeCell ref="D31:G31"/>
    <mergeCell ref="B30:C30"/>
    <mergeCell ref="D30:G30"/>
    <mergeCell ref="M28:N28"/>
    <mergeCell ref="M29:N29"/>
    <mergeCell ref="M30:N30"/>
    <mergeCell ref="M31:N31"/>
    <mergeCell ref="K26:L26"/>
    <mergeCell ref="B27:C27"/>
    <mergeCell ref="D27:G27"/>
    <mergeCell ref="I27:J27"/>
    <mergeCell ref="K27:L27"/>
    <mergeCell ref="B26:C26"/>
    <mergeCell ref="D26:G26"/>
    <mergeCell ref="I26:J26"/>
    <mergeCell ref="M24:N24"/>
    <mergeCell ref="M25:N25"/>
    <mergeCell ref="B25:C25"/>
    <mergeCell ref="D25:G25"/>
    <mergeCell ref="I25:J25"/>
    <mergeCell ref="K25:L25"/>
    <mergeCell ref="B24:C24"/>
    <mergeCell ref="D24:G24"/>
    <mergeCell ref="I24:J24"/>
    <mergeCell ref="K24:L24"/>
    <mergeCell ref="B23:C23"/>
    <mergeCell ref="D23:G23"/>
    <mergeCell ref="B22:C22"/>
    <mergeCell ref="D22:G22"/>
    <mergeCell ref="I22:J22"/>
    <mergeCell ref="K22:L22"/>
    <mergeCell ref="I23:J23"/>
    <mergeCell ref="K23:L23"/>
    <mergeCell ref="I20:J20"/>
    <mergeCell ref="K20:L20"/>
    <mergeCell ref="I21:J21"/>
    <mergeCell ref="K21:L21"/>
    <mergeCell ref="M22:N22"/>
    <mergeCell ref="M23:N23"/>
    <mergeCell ref="M20:N20"/>
    <mergeCell ref="B19:C19"/>
    <mergeCell ref="D19:G19"/>
    <mergeCell ref="B18:C18"/>
    <mergeCell ref="M18:N18"/>
    <mergeCell ref="M21:N21"/>
    <mergeCell ref="B21:C21"/>
    <mergeCell ref="D21:G21"/>
    <mergeCell ref="B20:C20"/>
    <mergeCell ref="D20:G20"/>
    <mergeCell ref="M19:N19"/>
    <mergeCell ref="D13:G13"/>
    <mergeCell ref="B14:C14"/>
    <mergeCell ref="B16:C16"/>
    <mergeCell ref="D16:G16"/>
    <mergeCell ref="D18:G18"/>
    <mergeCell ref="I18:J18"/>
    <mergeCell ref="B17:C17"/>
    <mergeCell ref="D17:G17"/>
    <mergeCell ref="I15:J15"/>
    <mergeCell ref="B13:C13"/>
    <mergeCell ref="I19:J19"/>
    <mergeCell ref="K19:L19"/>
    <mergeCell ref="M16:N16"/>
    <mergeCell ref="M17:N17"/>
    <mergeCell ref="I16:J16"/>
    <mergeCell ref="K16:L16"/>
    <mergeCell ref="I17:J17"/>
    <mergeCell ref="K17:L17"/>
    <mergeCell ref="K18:L18"/>
    <mergeCell ref="M14:N14"/>
    <mergeCell ref="M15:N15"/>
    <mergeCell ref="M12:N12"/>
    <mergeCell ref="D14:G14"/>
    <mergeCell ref="I13:J13"/>
    <mergeCell ref="K13:L13"/>
    <mergeCell ref="M13:N13"/>
    <mergeCell ref="K14:L14"/>
    <mergeCell ref="I14:J14"/>
    <mergeCell ref="K15:L15"/>
    <mergeCell ref="B12:C12"/>
    <mergeCell ref="D12:G12"/>
    <mergeCell ref="I12:J12"/>
    <mergeCell ref="D10:G10"/>
    <mergeCell ref="B11:C11"/>
    <mergeCell ref="D11:G11"/>
    <mergeCell ref="B10:C10"/>
    <mergeCell ref="B15:C15"/>
    <mergeCell ref="D15:G15"/>
    <mergeCell ref="I6:N6"/>
    <mergeCell ref="K10:L10"/>
    <mergeCell ref="M9:N9"/>
    <mergeCell ref="I9:J9"/>
    <mergeCell ref="A8:N8"/>
    <mergeCell ref="D9:G9"/>
    <mergeCell ref="G6:H6"/>
    <mergeCell ref="A7:B7"/>
    <mergeCell ref="B9:C9"/>
    <mergeCell ref="K1:L1"/>
    <mergeCell ref="K12:L12"/>
    <mergeCell ref="I10:J10"/>
    <mergeCell ref="M2:N2"/>
    <mergeCell ref="K4:L4"/>
    <mergeCell ref="M3:N3"/>
    <mergeCell ref="K9:L9"/>
    <mergeCell ref="I1:J1"/>
    <mergeCell ref="K2:L2"/>
    <mergeCell ref="K3:L3"/>
    <mergeCell ref="I3:J3"/>
    <mergeCell ref="G1:H1"/>
    <mergeCell ref="I4:J4"/>
    <mergeCell ref="I2:J2"/>
    <mergeCell ref="G2:H2"/>
    <mergeCell ref="G4:H4"/>
    <mergeCell ref="G3:H3"/>
    <mergeCell ref="M4:N4"/>
    <mergeCell ref="K11:L11"/>
    <mergeCell ref="M10:N10"/>
    <mergeCell ref="I11:J11"/>
    <mergeCell ref="M11:N11"/>
    <mergeCell ref="C7:N7"/>
    <mergeCell ref="M5:N5"/>
    <mergeCell ref="K5:L5"/>
    <mergeCell ref="I5:J5"/>
    <mergeCell ref="G5:H5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I11:J37" xr:uid="{B1D763DA-9B0E-4139-96B7-3606B22EE862}">
      <formula1>RoofColors</formula1>
    </dataValidation>
    <dataValidation type="list" errorStyle="warning" allowBlank="1" showInputMessage="1" showErrorMessage="1" errorTitle="Unlisted" error="You have entered an unlisted item.  Please make sure the item entered is correct." sqref="D11:D37" xr:uid="{1BEDD00C-AA61-4166-A5CB-4ED3C036E5D8}">
      <formula1>ROOF</formula1>
    </dataValidation>
    <dataValidation errorStyle="warning" allowBlank="1" showInputMessage="1" showErrorMessage="1" errorTitle="Unlisted" error="You have entered an unlisted item.  Please make sure the item entered is correct." sqref="H11:H37 B11:C37" xr:uid="{7B94A833-1C74-4F9E-BFA8-6A102785ED49}"/>
  </dataValidations>
  <pageMargins left="0.25" right="0.25" top="0.25" bottom="0.25" header="0.5" footer="0.5"/>
  <pageSetup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6AD1-D821-42D3-8D3B-1538B90976F5}">
  <sheetPr codeName="Sheet79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338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16" t="s">
        <v>353</v>
      </c>
      <c r="C9" s="421"/>
      <c r="D9" s="416" t="s">
        <v>240</v>
      </c>
      <c r="E9" s="421"/>
      <c r="F9" s="421"/>
      <c r="G9" s="417"/>
      <c r="H9" s="107" t="s">
        <v>273</v>
      </c>
      <c r="I9" s="416" t="s">
        <v>242</v>
      </c>
      <c r="J9" s="417"/>
      <c r="K9" s="421" t="s">
        <v>241</v>
      </c>
      <c r="L9" s="417"/>
      <c r="M9" s="423" t="s">
        <v>327</v>
      </c>
      <c r="N9" s="424"/>
    </row>
    <row r="10" spans="1:16" ht="13.5" customHeight="1" x14ac:dyDescent="0.25">
      <c r="A10" s="162"/>
      <c r="B10" s="538"/>
      <c r="C10" s="538"/>
      <c r="D10" s="538"/>
      <c r="E10" s="538"/>
      <c r="F10" s="538"/>
      <c r="G10" s="538"/>
      <c r="H10" s="108"/>
      <c r="I10" s="539"/>
      <c r="J10" s="539"/>
      <c r="K10" s="538"/>
      <c r="L10" s="538"/>
      <c r="M10" s="529"/>
      <c r="N10" s="530"/>
    </row>
    <row r="11" spans="1:16" ht="13.5" customHeight="1" x14ac:dyDescent="0.25">
      <c r="A11" s="142" t="str">
        <f>"@Data"</f>
        <v>@Data</v>
      </c>
      <c r="B11" s="506"/>
      <c r="C11" s="506"/>
      <c r="D11" s="506"/>
      <c r="E11" s="506"/>
      <c r="F11" s="506"/>
      <c r="G11" s="506"/>
      <c r="H11" s="172"/>
      <c r="I11" s="406"/>
      <c r="J11" s="406"/>
      <c r="K11" s="405"/>
      <c r="L11" s="405"/>
      <c r="M11" s="405"/>
      <c r="N11" s="407"/>
    </row>
    <row r="12" spans="1:16" ht="13.5" customHeight="1" x14ac:dyDescent="0.25">
      <c r="A12" s="142"/>
      <c r="B12" s="506"/>
      <c r="C12" s="506"/>
      <c r="D12" s="506"/>
      <c r="E12" s="506"/>
      <c r="F12" s="506"/>
      <c r="G12" s="506"/>
      <c r="H12" s="172"/>
      <c r="I12" s="406"/>
      <c r="J12" s="406"/>
      <c r="K12" s="405"/>
      <c r="L12" s="405"/>
      <c r="M12" s="405"/>
      <c r="N12" s="407"/>
    </row>
    <row r="13" spans="1:16" ht="13.5" customHeight="1" x14ac:dyDescent="0.25">
      <c r="A13" s="142"/>
      <c r="B13" s="506"/>
      <c r="C13" s="506"/>
      <c r="D13" s="506"/>
      <c r="E13" s="506"/>
      <c r="F13" s="506"/>
      <c r="G13" s="506"/>
      <c r="H13" s="172"/>
      <c r="I13" s="406"/>
      <c r="J13" s="406"/>
      <c r="K13" s="405"/>
      <c r="L13" s="405"/>
      <c r="M13" s="405"/>
      <c r="N13" s="407"/>
    </row>
    <row r="14" spans="1:16" ht="13.5" customHeight="1" x14ac:dyDescent="0.25">
      <c r="A14" s="142"/>
      <c r="B14" s="506"/>
      <c r="C14" s="506"/>
      <c r="D14" s="506"/>
      <c r="E14" s="506"/>
      <c r="F14" s="506"/>
      <c r="G14" s="506"/>
      <c r="H14" s="172"/>
      <c r="I14" s="406"/>
      <c r="J14" s="406"/>
      <c r="K14" s="405"/>
      <c r="L14" s="405"/>
      <c r="M14" s="405"/>
      <c r="N14" s="407"/>
    </row>
    <row r="15" spans="1:16" ht="13.5" customHeight="1" x14ac:dyDescent="0.25">
      <c r="A15" s="142"/>
      <c r="B15" s="506"/>
      <c r="C15" s="506"/>
      <c r="D15" s="506"/>
      <c r="E15" s="506"/>
      <c r="F15" s="506"/>
      <c r="G15" s="506"/>
      <c r="H15" s="172"/>
      <c r="I15" s="406"/>
      <c r="J15" s="406"/>
      <c r="K15" s="405"/>
      <c r="L15" s="405"/>
      <c r="M15" s="405"/>
      <c r="N15" s="407"/>
    </row>
    <row r="16" spans="1:16" ht="13.5" customHeight="1" x14ac:dyDescent="0.25">
      <c r="A16" s="142"/>
      <c r="B16" s="506"/>
      <c r="C16" s="506"/>
      <c r="D16" s="506"/>
      <c r="E16" s="506"/>
      <c r="F16" s="506"/>
      <c r="G16" s="506"/>
      <c r="H16" s="172"/>
      <c r="I16" s="406"/>
      <c r="J16" s="406"/>
      <c r="K16" s="405"/>
      <c r="L16" s="405"/>
      <c r="M16" s="405"/>
      <c r="N16" s="407"/>
    </row>
    <row r="17" spans="1:14" ht="13.5" customHeight="1" x14ac:dyDescent="0.25">
      <c r="A17" s="142"/>
      <c r="B17" s="506"/>
      <c r="C17" s="506"/>
      <c r="D17" s="506"/>
      <c r="E17" s="506"/>
      <c r="F17" s="506"/>
      <c r="G17" s="506"/>
      <c r="H17" s="172"/>
      <c r="I17" s="406"/>
      <c r="J17" s="406"/>
      <c r="K17" s="405"/>
      <c r="L17" s="405"/>
      <c r="M17" s="405"/>
      <c r="N17" s="407"/>
    </row>
    <row r="18" spans="1:14" ht="13.5" customHeight="1" x14ac:dyDescent="0.25">
      <c r="A18" s="142"/>
      <c r="B18" s="506"/>
      <c r="C18" s="506"/>
      <c r="D18" s="506"/>
      <c r="E18" s="506"/>
      <c r="F18" s="506"/>
      <c r="G18" s="506"/>
      <c r="H18" s="172"/>
      <c r="I18" s="406"/>
      <c r="J18" s="406"/>
      <c r="K18" s="405"/>
      <c r="L18" s="405"/>
      <c r="M18" s="405"/>
      <c r="N18" s="407"/>
    </row>
    <row r="19" spans="1:14" ht="13.5" customHeight="1" x14ac:dyDescent="0.25">
      <c r="A19" s="142"/>
      <c r="B19" s="506"/>
      <c r="C19" s="506"/>
      <c r="D19" s="506"/>
      <c r="E19" s="506"/>
      <c r="F19" s="506"/>
      <c r="G19" s="506"/>
      <c r="H19" s="172"/>
      <c r="I19" s="406"/>
      <c r="J19" s="406"/>
      <c r="K19" s="405"/>
      <c r="L19" s="405"/>
      <c r="M19" s="405"/>
      <c r="N19" s="407"/>
    </row>
    <row r="20" spans="1:14" ht="13.5" customHeight="1" x14ac:dyDescent="0.25">
      <c r="A20" s="142"/>
      <c r="B20" s="506"/>
      <c r="C20" s="506"/>
      <c r="D20" s="506"/>
      <c r="E20" s="506"/>
      <c r="F20" s="506"/>
      <c r="G20" s="506"/>
      <c r="H20" s="172"/>
      <c r="I20" s="406"/>
      <c r="J20" s="406"/>
      <c r="K20" s="405"/>
      <c r="L20" s="405"/>
      <c r="M20" s="405"/>
      <c r="N20" s="407"/>
    </row>
    <row r="21" spans="1:14" s="2" customFormat="1" ht="13.5" customHeight="1" x14ac:dyDescent="0.25">
      <c r="A21" s="142"/>
      <c r="B21" s="506"/>
      <c r="C21" s="506"/>
      <c r="D21" s="506"/>
      <c r="E21" s="506"/>
      <c r="F21" s="506"/>
      <c r="G21" s="506"/>
      <c r="H21" s="172"/>
      <c r="I21" s="406"/>
      <c r="J21" s="406"/>
      <c r="K21" s="405"/>
      <c r="L21" s="405"/>
      <c r="M21" s="405"/>
      <c r="N21" s="407"/>
    </row>
    <row r="22" spans="1:14" ht="13.5" customHeight="1" x14ac:dyDescent="0.25">
      <c r="A22" s="142"/>
      <c r="B22" s="506"/>
      <c r="C22" s="506"/>
      <c r="D22" s="506"/>
      <c r="E22" s="506"/>
      <c r="F22" s="506"/>
      <c r="G22" s="506"/>
      <c r="H22" s="172"/>
      <c r="I22" s="406"/>
      <c r="J22" s="406"/>
      <c r="K22" s="405"/>
      <c r="L22" s="405"/>
      <c r="M22" s="405"/>
      <c r="N22" s="407"/>
    </row>
    <row r="23" spans="1:14" ht="13.5" customHeight="1" x14ac:dyDescent="0.25">
      <c r="A23" s="142"/>
      <c r="B23" s="506"/>
      <c r="C23" s="506"/>
      <c r="D23" s="506"/>
      <c r="E23" s="506"/>
      <c r="F23" s="506"/>
      <c r="G23" s="506"/>
      <c r="H23" s="172"/>
      <c r="I23" s="406"/>
      <c r="J23" s="406"/>
      <c r="K23" s="405"/>
      <c r="L23" s="405"/>
      <c r="M23" s="405"/>
      <c r="N23" s="407"/>
    </row>
    <row r="24" spans="1:14" ht="13.5" customHeight="1" x14ac:dyDescent="0.25">
      <c r="A24" s="142"/>
      <c r="B24" s="506"/>
      <c r="C24" s="506"/>
      <c r="D24" s="506"/>
      <c r="E24" s="506"/>
      <c r="F24" s="506"/>
      <c r="G24" s="506"/>
      <c r="H24" s="172"/>
      <c r="I24" s="406"/>
      <c r="J24" s="406"/>
      <c r="K24" s="405"/>
      <c r="L24" s="405"/>
      <c r="M24" s="405"/>
      <c r="N24" s="407"/>
    </row>
    <row r="25" spans="1:14" ht="13.5" customHeight="1" x14ac:dyDescent="0.25">
      <c r="A25" s="142"/>
      <c r="B25" s="506"/>
      <c r="C25" s="506"/>
      <c r="D25" s="506"/>
      <c r="E25" s="506"/>
      <c r="F25" s="506"/>
      <c r="G25" s="506"/>
      <c r="H25" s="172"/>
      <c r="I25" s="406"/>
      <c r="J25" s="406"/>
      <c r="K25" s="405"/>
      <c r="L25" s="405"/>
      <c r="M25" s="405"/>
      <c r="N25" s="407"/>
    </row>
    <row r="26" spans="1:14" ht="13.5" customHeight="1" x14ac:dyDescent="0.25">
      <c r="A26" s="142"/>
      <c r="B26" s="506"/>
      <c r="C26" s="506"/>
      <c r="D26" s="506"/>
      <c r="E26" s="506"/>
      <c r="F26" s="506"/>
      <c r="G26" s="506"/>
      <c r="H26" s="172"/>
      <c r="I26" s="406"/>
      <c r="J26" s="406"/>
      <c r="K26" s="405"/>
      <c r="L26" s="405"/>
      <c r="M26" s="405"/>
      <c r="N26" s="407"/>
    </row>
    <row r="27" spans="1:14" ht="13.5" customHeight="1" x14ac:dyDescent="0.25">
      <c r="A27" s="142"/>
      <c r="B27" s="506"/>
      <c r="C27" s="506"/>
      <c r="D27" s="506"/>
      <c r="E27" s="506"/>
      <c r="F27" s="506"/>
      <c r="G27" s="506"/>
      <c r="H27" s="172"/>
      <c r="I27" s="406"/>
      <c r="J27" s="406"/>
      <c r="K27" s="405"/>
      <c r="L27" s="405"/>
      <c r="M27" s="405"/>
      <c r="N27" s="407"/>
    </row>
    <row r="28" spans="1:14" ht="13.5" customHeight="1" x14ac:dyDescent="0.25">
      <c r="A28" s="142"/>
      <c r="B28" s="506"/>
      <c r="C28" s="506"/>
      <c r="D28" s="506"/>
      <c r="E28" s="506"/>
      <c r="F28" s="506"/>
      <c r="G28" s="506"/>
      <c r="H28" s="172"/>
      <c r="I28" s="406"/>
      <c r="J28" s="406"/>
      <c r="K28" s="405"/>
      <c r="L28" s="405"/>
      <c r="M28" s="405"/>
      <c r="N28" s="407"/>
    </row>
    <row r="29" spans="1:14" ht="13.5" customHeight="1" x14ac:dyDescent="0.25">
      <c r="A29" s="142"/>
      <c r="B29" s="506"/>
      <c r="C29" s="506"/>
      <c r="D29" s="506"/>
      <c r="E29" s="506"/>
      <c r="F29" s="506"/>
      <c r="G29" s="506"/>
      <c r="H29" s="172"/>
      <c r="I29" s="406"/>
      <c r="J29" s="406"/>
      <c r="K29" s="405"/>
      <c r="L29" s="405"/>
      <c r="M29" s="405"/>
      <c r="N29" s="407"/>
    </row>
    <row r="30" spans="1:14" ht="13.5" customHeight="1" x14ac:dyDescent="0.25">
      <c r="A30" s="142"/>
      <c r="B30" s="506"/>
      <c r="C30" s="506"/>
      <c r="D30" s="506"/>
      <c r="E30" s="506"/>
      <c r="F30" s="506"/>
      <c r="G30" s="506"/>
      <c r="H30" s="172"/>
      <c r="I30" s="406"/>
      <c r="J30" s="406"/>
      <c r="K30" s="405"/>
      <c r="L30" s="405"/>
      <c r="M30" s="405"/>
      <c r="N30" s="407"/>
    </row>
    <row r="31" spans="1:14" ht="13.5" customHeight="1" x14ac:dyDescent="0.25">
      <c r="A31" s="142"/>
      <c r="B31" s="506"/>
      <c r="C31" s="506"/>
      <c r="D31" s="506"/>
      <c r="E31" s="506"/>
      <c r="F31" s="506"/>
      <c r="G31" s="506"/>
      <c r="H31" s="172"/>
      <c r="I31" s="406"/>
      <c r="J31" s="406"/>
      <c r="K31" s="405"/>
      <c r="L31" s="405"/>
      <c r="M31" s="405"/>
      <c r="N31" s="407"/>
    </row>
    <row r="32" spans="1:14" ht="13.5" customHeight="1" x14ac:dyDescent="0.25">
      <c r="A32" s="142"/>
      <c r="B32" s="506"/>
      <c r="C32" s="506"/>
      <c r="D32" s="506"/>
      <c r="E32" s="506"/>
      <c r="F32" s="506"/>
      <c r="G32" s="506"/>
      <c r="H32" s="172"/>
      <c r="I32" s="406"/>
      <c r="J32" s="406"/>
      <c r="K32" s="405"/>
      <c r="L32" s="405"/>
      <c r="M32" s="405"/>
      <c r="N32" s="407"/>
    </row>
    <row r="33" spans="1:14" ht="13.5" customHeight="1" x14ac:dyDescent="0.25">
      <c r="A33" s="142"/>
      <c r="B33" s="506"/>
      <c r="C33" s="506"/>
      <c r="D33" s="506"/>
      <c r="E33" s="506"/>
      <c r="F33" s="506"/>
      <c r="G33" s="506"/>
      <c r="H33" s="172"/>
      <c r="I33" s="406"/>
      <c r="J33" s="406"/>
      <c r="K33" s="405"/>
      <c r="L33" s="405"/>
      <c r="M33" s="405"/>
      <c r="N33" s="407"/>
    </row>
    <row r="34" spans="1:14" ht="13.5" customHeight="1" x14ac:dyDescent="0.25">
      <c r="A34" s="142"/>
      <c r="B34" s="506"/>
      <c r="C34" s="506"/>
      <c r="D34" s="506"/>
      <c r="E34" s="506"/>
      <c r="F34" s="506"/>
      <c r="G34" s="506"/>
      <c r="H34" s="172"/>
      <c r="I34" s="406"/>
      <c r="J34" s="406"/>
      <c r="K34" s="405"/>
      <c r="L34" s="405"/>
      <c r="M34" s="405"/>
      <c r="N34" s="407"/>
    </row>
    <row r="35" spans="1:14" ht="13.5" customHeight="1" x14ac:dyDescent="0.25">
      <c r="A35" s="142"/>
      <c r="B35" s="506"/>
      <c r="C35" s="506"/>
      <c r="D35" s="506"/>
      <c r="E35" s="506"/>
      <c r="F35" s="506"/>
      <c r="G35" s="506"/>
      <c r="H35" s="172"/>
      <c r="I35" s="406"/>
      <c r="J35" s="406"/>
      <c r="K35" s="405"/>
      <c r="L35" s="405"/>
      <c r="M35" s="405"/>
      <c r="N35" s="407"/>
    </row>
    <row r="36" spans="1:14" ht="13.5" customHeight="1" x14ac:dyDescent="0.25">
      <c r="A36" s="142"/>
      <c r="B36" s="506"/>
      <c r="C36" s="506"/>
      <c r="D36" s="506"/>
      <c r="E36" s="506"/>
      <c r="F36" s="506"/>
      <c r="G36" s="506"/>
      <c r="H36" s="172"/>
      <c r="I36" s="406"/>
      <c r="J36" s="406"/>
      <c r="K36" s="405"/>
      <c r="L36" s="405"/>
      <c r="M36" s="405"/>
      <c r="N36" s="407"/>
    </row>
    <row r="37" spans="1:14" ht="13.5" customHeight="1" thickBot="1" x14ac:dyDescent="0.3">
      <c r="A37" s="144"/>
      <c r="B37" s="509"/>
      <c r="C37" s="509"/>
      <c r="D37" s="509"/>
      <c r="E37" s="509"/>
      <c r="F37" s="509"/>
      <c r="G37" s="509"/>
      <c r="H37" s="173"/>
      <c r="I37" s="409"/>
      <c r="J37" s="409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71">
    <mergeCell ref="K39:L39"/>
    <mergeCell ref="M39:N39"/>
    <mergeCell ref="M36:N36"/>
    <mergeCell ref="K34:L34"/>
    <mergeCell ref="K35:L35"/>
    <mergeCell ref="M37:N37"/>
    <mergeCell ref="B34:C34"/>
    <mergeCell ref="I36:J36"/>
    <mergeCell ref="B32:C32"/>
    <mergeCell ref="D32:G32"/>
    <mergeCell ref="B33:C33"/>
    <mergeCell ref="D33:G33"/>
    <mergeCell ref="D35:G35"/>
    <mergeCell ref="I35:J35"/>
    <mergeCell ref="D34:G34"/>
    <mergeCell ref="B37:C37"/>
    <mergeCell ref="D37:G37"/>
    <mergeCell ref="M34:N34"/>
    <mergeCell ref="M35:N35"/>
    <mergeCell ref="I37:J37"/>
    <mergeCell ref="K37:L37"/>
    <mergeCell ref="K36:L36"/>
    <mergeCell ref="B36:C36"/>
    <mergeCell ref="D36:G36"/>
    <mergeCell ref="B35:C35"/>
    <mergeCell ref="I30:J30"/>
    <mergeCell ref="K30:L30"/>
    <mergeCell ref="M32:N32"/>
    <mergeCell ref="I34:J34"/>
    <mergeCell ref="I33:J33"/>
    <mergeCell ref="M33:N33"/>
    <mergeCell ref="K33:L33"/>
    <mergeCell ref="I31:J31"/>
    <mergeCell ref="K31:L31"/>
    <mergeCell ref="B28:C28"/>
    <mergeCell ref="D28:G28"/>
    <mergeCell ref="I32:J32"/>
    <mergeCell ref="K32:L32"/>
    <mergeCell ref="I28:J28"/>
    <mergeCell ref="K28:L28"/>
    <mergeCell ref="I29:J29"/>
    <mergeCell ref="K29:L29"/>
    <mergeCell ref="B29:C29"/>
    <mergeCell ref="D29:G29"/>
    <mergeCell ref="M26:N26"/>
    <mergeCell ref="M27:N27"/>
    <mergeCell ref="B31:C31"/>
    <mergeCell ref="D31:G31"/>
    <mergeCell ref="B30:C30"/>
    <mergeCell ref="D30:G30"/>
    <mergeCell ref="M28:N28"/>
    <mergeCell ref="M29:N29"/>
    <mergeCell ref="M30:N30"/>
    <mergeCell ref="M31:N31"/>
    <mergeCell ref="K26:L26"/>
    <mergeCell ref="B27:C27"/>
    <mergeCell ref="D27:G27"/>
    <mergeCell ref="I27:J27"/>
    <mergeCell ref="K27:L27"/>
    <mergeCell ref="B26:C26"/>
    <mergeCell ref="D26:G26"/>
    <mergeCell ref="I26:J26"/>
    <mergeCell ref="M24:N24"/>
    <mergeCell ref="M25:N25"/>
    <mergeCell ref="B25:C25"/>
    <mergeCell ref="D25:G25"/>
    <mergeCell ref="I25:J25"/>
    <mergeCell ref="K25:L25"/>
    <mergeCell ref="B24:C24"/>
    <mergeCell ref="D24:G24"/>
    <mergeCell ref="I24:J24"/>
    <mergeCell ref="K24:L24"/>
    <mergeCell ref="B23:C23"/>
    <mergeCell ref="D23:G23"/>
    <mergeCell ref="B22:C22"/>
    <mergeCell ref="D22:G22"/>
    <mergeCell ref="I22:J22"/>
    <mergeCell ref="K22:L22"/>
    <mergeCell ref="I23:J23"/>
    <mergeCell ref="K23:L23"/>
    <mergeCell ref="I20:J20"/>
    <mergeCell ref="K20:L20"/>
    <mergeCell ref="I21:J21"/>
    <mergeCell ref="K21:L21"/>
    <mergeCell ref="M22:N22"/>
    <mergeCell ref="M23:N23"/>
    <mergeCell ref="M20:N20"/>
    <mergeCell ref="B19:C19"/>
    <mergeCell ref="D19:G19"/>
    <mergeCell ref="B18:C18"/>
    <mergeCell ref="M18:N18"/>
    <mergeCell ref="M21:N21"/>
    <mergeCell ref="B21:C21"/>
    <mergeCell ref="D21:G21"/>
    <mergeCell ref="B20:C20"/>
    <mergeCell ref="D20:G20"/>
    <mergeCell ref="M19:N19"/>
    <mergeCell ref="D13:G13"/>
    <mergeCell ref="B14:C14"/>
    <mergeCell ref="B16:C16"/>
    <mergeCell ref="D16:G16"/>
    <mergeCell ref="D18:G18"/>
    <mergeCell ref="I18:J18"/>
    <mergeCell ref="B17:C17"/>
    <mergeCell ref="D17:G17"/>
    <mergeCell ref="I15:J15"/>
    <mergeCell ref="B13:C13"/>
    <mergeCell ref="I19:J19"/>
    <mergeCell ref="K19:L19"/>
    <mergeCell ref="M16:N16"/>
    <mergeCell ref="M17:N17"/>
    <mergeCell ref="I16:J16"/>
    <mergeCell ref="K16:L16"/>
    <mergeCell ref="I17:J17"/>
    <mergeCell ref="K17:L17"/>
    <mergeCell ref="K18:L18"/>
    <mergeCell ref="M14:N14"/>
    <mergeCell ref="M15:N15"/>
    <mergeCell ref="M12:N12"/>
    <mergeCell ref="D14:G14"/>
    <mergeCell ref="I13:J13"/>
    <mergeCell ref="K13:L13"/>
    <mergeCell ref="M13:N13"/>
    <mergeCell ref="K14:L14"/>
    <mergeCell ref="I14:J14"/>
    <mergeCell ref="K15:L15"/>
    <mergeCell ref="B12:C12"/>
    <mergeCell ref="D12:G12"/>
    <mergeCell ref="I12:J12"/>
    <mergeCell ref="D10:G10"/>
    <mergeCell ref="B11:C11"/>
    <mergeCell ref="D11:G11"/>
    <mergeCell ref="B10:C10"/>
    <mergeCell ref="B15:C15"/>
    <mergeCell ref="D15:G15"/>
    <mergeCell ref="I6:N6"/>
    <mergeCell ref="K10:L10"/>
    <mergeCell ref="M9:N9"/>
    <mergeCell ref="I9:J9"/>
    <mergeCell ref="A8:N8"/>
    <mergeCell ref="D9:G9"/>
    <mergeCell ref="G6:H6"/>
    <mergeCell ref="A7:B7"/>
    <mergeCell ref="B9:C9"/>
    <mergeCell ref="K1:L1"/>
    <mergeCell ref="K12:L12"/>
    <mergeCell ref="I10:J10"/>
    <mergeCell ref="M2:N2"/>
    <mergeCell ref="K4:L4"/>
    <mergeCell ref="M3:N3"/>
    <mergeCell ref="K9:L9"/>
    <mergeCell ref="I1:J1"/>
    <mergeCell ref="K2:L2"/>
    <mergeCell ref="K3:L3"/>
    <mergeCell ref="I3:J3"/>
    <mergeCell ref="G1:H1"/>
    <mergeCell ref="I4:J4"/>
    <mergeCell ref="I2:J2"/>
    <mergeCell ref="G2:H2"/>
    <mergeCell ref="G4:H4"/>
    <mergeCell ref="G3:H3"/>
    <mergeCell ref="M4:N4"/>
    <mergeCell ref="K11:L11"/>
    <mergeCell ref="M10:N10"/>
    <mergeCell ref="I11:J11"/>
    <mergeCell ref="M11:N11"/>
    <mergeCell ref="C7:N7"/>
    <mergeCell ref="M5:N5"/>
    <mergeCell ref="K5:L5"/>
    <mergeCell ref="I5:J5"/>
    <mergeCell ref="G5:H5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I11:J37" xr:uid="{17588392-9930-489C-A781-7B3449F7E9B1}">
      <formula1>RoofColors</formula1>
    </dataValidation>
    <dataValidation type="list" errorStyle="warning" allowBlank="1" showInputMessage="1" showErrorMessage="1" errorTitle="Unlisted" error="You have entered an unlisted item.  Please make sure the item entered is correct." sqref="D11:D37" xr:uid="{C848F0A5-8872-4E85-8419-8FE067C2C2BB}">
      <formula1>SSR</formula1>
    </dataValidation>
    <dataValidation errorStyle="warning" allowBlank="1" showInputMessage="1" showErrorMessage="1" errorTitle="Unlisted" error="You have entered an unlisted item.  Please make sure the item entered is correct." sqref="H11:H37 B11:C37" xr:uid="{7CEF26C1-F76D-40A8-9B47-95DB759B4DCD}"/>
  </dataValidations>
  <pageMargins left="0.25" right="0.25" top="0.25" bottom="0.25" header="0.5" footer="0.5"/>
  <pageSetup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245A-25BE-489A-9A27-056F9CF34119}">
  <sheetPr codeName="Sheet80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337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16" t="s">
        <v>353</v>
      </c>
      <c r="C9" s="417"/>
      <c r="D9" s="423" t="s">
        <v>240</v>
      </c>
      <c r="E9" s="423"/>
      <c r="F9" s="423"/>
      <c r="G9" s="424"/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413"/>
      <c r="C10" s="413"/>
      <c r="D10" s="413"/>
      <c r="E10" s="413"/>
      <c r="F10" s="413"/>
      <c r="G10" s="413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405"/>
      <c r="C11" s="405"/>
      <c r="D11" s="405"/>
      <c r="E11" s="405"/>
      <c r="F11" s="405"/>
      <c r="G11" s="405"/>
      <c r="H11" s="406"/>
      <c r="I11" s="406"/>
      <c r="J11" s="405"/>
      <c r="K11" s="405"/>
      <c r="L11" s="405"/>
      <c r="M11" s="405"/>
      <c r="N11" s="407"/>
    </row>
    <row r="12" spans="1:16" ht="13.5" customHeight="1" x14ac:dyDescent="0.25">
      <c r="A12" s="142"/>
      <c r="B12" s="405"/>
      <c r="C12" s="405"/>
      <c r="D12" s="405"/>
      <c r="E12" s="405"/>
      <c r="F12" s="405"/>
      <c r="G12" s="405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405"/>
      <c r="C13" s="405"/>
      <c r="D13" s="405"/>
      <c r="E13" s="405"/>
      <c r="F13" s="405"/>
      <c r="G13" s="405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405"/>
      <c r="C14" s="405"/>
      <c r="D14" s="405"/>
      <c r="E14" s="405"/>
      <c r="F14" s="405"/>
      <c r="G14" s="405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405"/>
      <c r="C15" s="405"/>
      <c r="D15" s="405"/>
      <c r="E15" s="405"/>
      <c r="F15" s="405"/>
      <c r="G15" s="405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405"/>
      <c r="C16" s="405"/>
      <c r="D16" s="405"/>
      <c r="E16" s="405"/>
      <c r="F16" s="405"/>
      <c r="G16" s="405"/>
      <c r="H16" s="406"/>
      <c r="I16" s="406"/>
      <c r="J16" s="405"/>
      <c r="K16" s="405"/>
      <c r="L16" s="405"/>
      <c r="M16" s="405"/>
      <c r="N16" s="407"/>
    </row>
    <row r="17" spans="1:14" ht="13.5" customHeight="1" x14ac:dyDescent="0.25">
      <c r="A17" s="142"/>
      <c r="B17" s="405"/>
      <c r="C17" s="405"/>
      <c r="D17" s="405"/>
      <c r="E17" s="405"/>
      <c r="F17" s="405"/>
      <c r="G17" s="405"/>
      <c r="H17" s="406"/>
      <c r="I17" s="406"/>
      <c r="J17" s="405"/>
      <c r="K17" s="405"/>
      <c r="L17" s="405"/>
      <c r="M17" s="405"/>
      <c r="N17" s="407"/>
    </row>
    <row r="18" spans="1:14" ht="13.5" customHeight="1" x14ac:dyDescent="0.25">
      <c r="A18" s="142"/>
      <c r="B18" s="405"/>
      <c r="C18" s="405"/>
      <c r="D18" s="405"/>
      <c r="E18" s="405"/>
      <c r="F18" s="405"/>
      <c r="G18" s="405"/>
      <c r="H18" s="406"/>
      <c r="I18" s="406"/>
      <c r="J18" s="405"/>
      <c r="K18" s="405"/>
      <c r="L18" s="405"/>
      <c r="M18" s="405"/>
      <c r="N18" s="407"/>
    </row>
    <row r="19" spans="1:14" ht="13.5" customHeight="1" x14ac:dyDescent="0.25">
      <c r="A19" s="142"/>
      <c r="B19" s="405"/>
      <c r="C19" s="405"/>
      <c r="D19" s="405"/>
      <c r="E19" s="405"/>
      <c r="F19" s="405"/>
      <c r="G19" s="405"/>
      <c r="H19" s="406"/>
      <c r="I19" s="406"/>
      <c r="J19" s="405"/>
      <c r="K19" s="405"/>
      <c r="L19" s="405"/>
      <c r="M19" s="405"/>
      <c r="N19" s="407"/>
    </row>
    <row r="20" spans="1:14" ht="13.5" customHeight="1" x14ac:dyDescent="0.25">
      <c r="A20" s="142"/>
      <c r="B20" s="405"/>
      <c r="C20" s="405"/>
      <c r="D20" s="405"/>
      <c r="E20" s="405"/>
      <c r="F20" s="405"/>
      <c r="G20" s="405"/>
      <c r="H20" s="406"/>
      <c r="I20" s="4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405"/>
      <c r="C21" s="405"/>
      <c r="D21" s="405"/>
      <c r="E21" s="405"/>
      <c r="F21" s="405"/>
      <c r="G21" s="405"/>
      <c r="H21" s="406"/>
      <c r="I21" s="406"/>
      <c r="J21" s="405"/>
      <c r="K21" s="405"/>
      <c r="L21" s="405"/>
      <c r="M21" s="405"/>
      <c r="N21" s="407"/>
    </row>
    <row r="22" spans="1:14" ht="13.5" customHeight="1" x14ac:dyDescent="0.25">
      <c r="A22" s="142"/>
      <c r="B22" s="405"/>
      <c r="C22" s="405"/>
      <c r="D22" s="405"/>
      <c r="E22" s="405"/>
      <c r="F22" s="405"/>
      <c r="G22" s="405"/>
      <c r="H22" s="406"/>
      <c r="I22" s="406"/>
      <c r="J22" s="405"/>
      <c r="K22" s="405"/>
      <c r="L22" s="405"/>
      <c r="M22" s="405"/>
      <c r="N22" s="407"/>
    </row>
    <row r="23" spans="1:14" ht="13.5" customHeight="1" x14ac:dyDescent="0.25">
      <c r="A23" s="142"/>
      <c r="B23" s="405"/>
      <c r="C23" s="405"/>
      <c r="D23" s="405"/>
      <c r="E23" s="405"/>
      <c r="F23" s="405"/>
      <c r="G23" s="405"/>
      <c r="H23" s="406"/>
      <c r="I23" s="406"/>
      <c r="J23" s="405"/>
      <c r="K23" s="405"/>
      <c r="L23" s="405"/>
      <c r="M23" s="405"/>
      <c r="N23" s="407"/>
    </row>
    <row r="24" spans="1:14" ht="13.5" customHeight="1" x14ac:dyDescent="0.25">
      <c r="A24" s="142"/>
      <c r="B24" s="405"/>
      <c r="C24" s="405"/>
      <c r="D24" s="405"/>
      <c r="E24" s="405"/>
      <c r="F24" s="405"/>
      <c r="G24" s="405"/>
      <c r="H24" s="406"/>
      <c r="I24" s="406"/>
      <c r="J24" s="405"/>
      <c r="K24" s="405"/>
      <c r="L24" s="405"/>
      <c r="M24" s="405"/>
      <c r="N24" s="407"/>
    </row>
    <row r="25" spans="1:14" ht="13.5" customHeight="1" x14ac:dyDescent="0.25">
      <c r="A25" s="142"/>
      <c r="B25" s="405"/>
      <c r="C25" s="405"/>
      <c r="D25" s="405"/>
      <c r="E25" s="405"/>
      <c r="F25" s="405"/>
      <c r="G25" s="405"/>
      <c r="H25" s="406"/>
      <c r="I25" s="406"/>
      <c r="J25" s="405"/>
      <c r="K25" s="405"/>
      <c r="L25" s="405"/>
      <c r="M25" s="405"/>
      <c r="N25" s="407"/>
    </row>
    <row r="26" spans="1:14" ht="13.5" customHeight="1" x14ac:dyDescent="0.25">
      <c r="A26" s="142"/>
      <c r="B26" s="405"/>
      <c r="C26" s="405"/>
      <c r="D26" s="405"/>
      <c r="E26" s="405"/>
      <c r="F26" s="405"/>
      <c r="G26" s="405"/>
      <c r="H26" s="406"/>
      <c r="I26" s="406"/>
      <c r="J26" s="405"/>
      <c r="K26" s="405"/>
      <c r="L26" s="405"/>
      <c r="M26" s="405"/>
      <c r="N26" s="407"/>
    </row>
    <row r="27" spans="1:14" ht="13.5" customHeight="1" x14ac:dyDescent="0.25">
      <c r="A27" s="142"/>
      <c r="B27" s="405"/>
      <c r="C27" s="405"/>
      <c r="D27" s="405"/>
      <c r="E27" s="405"/>
      <c r="F27" s="405"/>
      <c r="G27" s="405"/>
      <c r="H27" s="406"/>
      <c r="I27" s="406"/>
      <c r="J27" s="405"/>
      <c r="K27" s="405"/>
      <c r="L27" s="405"/>
      <c r="M27" s="405"/>
      <c r="N27" s="407"/>
    </row>
    <row r="28" spans="1:14" ht="13.5" customHeight="1" x14ac:dyDescent="0.25">
      <c r="A28" s="142"/>
      <c r="B28" s="405"/>
      <c r="C28" s="405"/>
      <c r="D28" s="405"/>
      <c r="E28" s="405"/>
      <c r="F28" s="405"/>
      <c r="G28" s="405"/>
      <c r="H28" s="406"/>
      <c r="I28" s="406"/>
      <c r="J28" s="405"/>
      <c r="K28" s="405"/>
      <c r="L28" s="405"/>
      <c r="M28" s="405"/>
      <c r="N28" s="407"/>
    </row>
    <row r="29" spans="1:14" ht="13.5" customHeight="1" x14ac:dyDescent="0.25">
      <c r="A29" s="142"/>
      <c r="B29" s="405"/>
      <c r="C29" s="405"/>
      <c r="D29" s="405"/>
      <c r="E29" s="405"/>
      <c r="F29" s="405"/>
      <c r="G29" s="405"/>
      <c r="H29" s="406"/>
      <c r="I29" s="406"/>
      <c r="J29" s="405"/>
      <c r="K29" s="405"/>
      <c r="L29" s="405"/>
      <c r="M29" s="405"/>
      <c r="N29" s="407"/>
    </row>
    <row r="30" spans="1:14" ht="13.5" customHeight="1" x14ac:dyDescent="0.25">
      <c r="A30" s="142"/>
      <c r="B30" s="405"/>
      <c r="C30" s="405"/>
      <c r="D30" s="405"/>
      <c r="E30" s="405"/>
      <c r="F30" s="405"/>
      <c r="G30" s="405"/>
      <c r="H30" s="406"/>
      <c r="I30" s="406"/>
      <c r="J30" s="405"/>
      <c r="K30" s="405"/>
      <c r="L30" s="405"/>
      <c r="M30" s="405"/>
      <c r="N30" s="407"/>
    </row>
    <row r="31" spans="1:14" ht="13.5" customHeight="1" x14ac:dyDescent="0.25">
      <c r="A31" s="142"/>
      <c r="B31" s="405"/>
      <c r="C31" s="405"/>
      <c r="D31" s="405"/>
      <c r="E31" s="405"/>
      <c r="F31" s="405"/>
      <c r="G31" s="405"/>
      <c r="H31" s="406"/>
      <c r="I31" s="406"/>
      <c r="J31" s="405"/>
      <c r="K31" s="405"/>
      <c r="L31" s="405"/>
      <c r="M31" s="405"/>
      <c r="N31" s="407"/>
    </row>
    <row r="32" spans="1:14" ht="13.5" customHeight="1" x14ac:dyDescent="0.25">
      <c r="A32" s="142"/>
      <c r="B32" s="405"/>
      <c r="C32" s="405"/>
      <c r="D32" s="405"/>
      <c r="E32" s="405"/>
      <c r="F32" s="405"/>
      <c r="G32" s="405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405"/>
      <c r="C33" s="405"/>
      <c r="D33" s="405"/>
      <c r="E33" s="405"/>
      <c r="F33" s="405"/>
      <c r="G33" s="405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405"/>
      <c r="C34" s="405"/>
      <c r="D34" s="405"/>
      <c r="E34" s="405"/>
      <c r="F34" s="405"/>
      <c r="G34" s="405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405"/>
      <c r="C35" s="405"/>
      <c r="D35" s="405"/>
      <c r="E35" s="405"/>
      <c r="F35" s="405"/>
      <c r="G35" s="405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142"/>
      <c r="B36" s="405"/>
      <c r="C36" s="405"/>
      <c r="D36" s="405"/>
      <c r="E36" s="405"/>
      <c r="F36" s="405"/>
      <c r="G36" s="405"/>
      <c r="H36" s="406"/>
      <c r="I36" s="4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408"/>
      <c r="C37" s="408"/>
      <c r="D37" s="408"/>
      <c r="E37" s="408"/>
      <c r="F37" s="408"/>
      <c r="G37" s="408"/>
      <c r="H37" s="409"/>
      <c r="I37" s="4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71">
    <mergeCell ref="K39:L39"/>
    <mergeCell ref="M39:N39"/>
    <mergeCell ref="B36:C36"/>
    <mergeCell ref="D36:G36"/>
    <mergeCell ref="H36:I36"/>
    <mergeCell ref="J36:L36"/>
    <mergeCell ref="M36:N36"/>
    <mergeCell ref="B37:C37"/>
    <mergeCell ref="D37:G37"/>
    <mergeCell ref="H37:I37"/>
    <mergeCell ref="J37:L37"/>
    <mergeCell ref="M37:N37"/>
    <mergeCell ref="B34:C34"/>
    <mergeCell ref="D34:G34"/>
    <mergeCell ref="H34:I34"/>
    <mergeCell ref="J34:L34"/>
    <mergeCell ref="M34:N34"/>
    <mergeCell ref="B35:C35"/>
    <mergeCell ref="D35:G35"/>
    <mergeCell ref="H35:I35"/>
    <mergeCell ref="J35:L35"/>
    <mergeCell ref="M35:N35"/>
    <mergeCell ref="B32:C32"/>
    <mergeCell ref="D32:G32"/>
    <mergeCell ref="H32:I32"/>
    <mergeCell ref="J32:L32"/>
    <mergeCell ref="M32:N32"/>
    <mergeCell ref="B33:C33"/>
    <mergeCell ref="D33:G33"/>
    <mergeCell ref="H33:I33"/>
    <mergeCell ref="J33:L33"/>
    <mergeCell ref="M33:N33"/>
    <mergeCell ref="B30:C30"/>
    <mergeCell ref="D30:G30"/>
    <mergeCell ref="H30:I30"/>
    <mergeCell ref="J30:L30"/>
    <mergeCell ref="M30:N30"/>
    <mergeCell ref="B31:C31"/>
    <mergeCell ref="D31:G31"/>
    <mergeCell ref="H31:I31"/>
    <mergeCell ref="J31:L31"/>
    <mergeCell ref="M31:N31"/>
    <mergeCell ref="B28:C28"/>
    <mergeCell ref="D28:G28"/>
    <mergeCell ref="H28:I28"/>
    <mergeCell ref="J28:L28"/>
    <mergeCell ref="M28:N28"/>
    <mergeCell ref="B29:C29"/>
    <mergeCell ref="D29:G29"/>
    <mergeCell ref="H29:I29"/>
    <mergeCell ref="J29:L29"/>
    <mergeCell ref="M29:N29"/>
    <mergeCell ref="B26:C26"/>
    <mergeCell ref="D26:G26"/>
    <mergeCell ref="H26:I26"/>
    <mergeCell ref="J26:L26"/>
    <mergeCell ref="M26:N26"/>
    <mergeCell ref="B27:C27"/>
    <mergeCell ref="D27:G27"/>
    <mergeCell ref="H27:I27"/>
    <mergeCell ref="J27:L27"/>
    <mergeCell ref="M27:N27"/>
    <mergeCell ref="B24:C24"/>
    <mergeCell ref="D24:G24"/>
    <mergeCell ref="H24:I24"/>
    <mergeCell ref="J24:L24"/>
    <mergeCell ref="M24:N24"/>
    <mergeCell ref="B25:C25"/>
    <mergeCell ref="D25:G25"/>
    <mergeCell ref="H25:I25"/>
    <mergeCell ref="J25:L25"/>
    <mergeCell ref="M25:N25"/>
    <mergeCell ref="B22:C22"/>
    <mergeCell ref="D22:G22"/>
    <mergeCell ref="H22:I22"/>
    <mergeCell ref="J22:L22"/>
    <mergeCell ref="M22:N22"/>
    <mergeCell ref="B23:C23"/>
    <mergeCell ref="D23:G23"/>
    <mergeCell ref="H23:I23"/>
    <mergeCell ref="J23:L23"/>
    <mergeCell ref="M23:N23"/>
    <mergeCell ref="B20:C20"/>
    <mergeCell ref="D20:G20"/>
    <mergeCell ref="H20:I20"/>
    <mergeCell ref="J20:L20"/>
    <mergeCell ref="M20:N20"/>
    <mergeCell ref="B21:C21"/>
    <mergeCell ref="D21:G21"/>
    <mergeCell ref="H21:I21"/>
    <mergeCell ref="J21:L21"/>
    <mergeCell ref="M21:N21"/>
    <mergeCell ref="B18:C18"/>
    <mergeCell ref="D18:G18"/>
    <mergeCell ref="H18:I18"/>
    <mergeCell ref="J18:L18"/>
    <mergeCell ref="M18:N18"/>
    <mergeCell ref="B19:C19"/>
    <mergeCell ref="D19:G19"/>
    <mergeCell ref="H19:I19"/>
    <mergeCell ref="J19:L19"/>
    <mergeCell ref="M19:N19"/>
    <mergeCell ref="B16:C16"/>
    <mergeCell ref="D16:G16"/>
    <mergeCell ref="H16:I16"/>
    <mergeCell ref="J16:L16"/>
    <mergeCell ref="M16:N16"/>
    <mergeCell ref="B17:C17"/>
    <mergeCell ref="D17:G17"/>
    <mergeCell ref="H17:I17"/>
    <mergeCell ref="J17:L17"/>
    <mergeCell ref="M17:N17"/>
    <mergeCell ref="B14:C14"/>
    <mergeCell ref="D14:G14"/>
    <mergeCell ref="H14:I14"/>
    <mergeCell ref="J14:L14"/>
    <mergeCell ref="M14:N14"/>
    <mergeCell ref="B15:C15"/>
    <mergeCell ref="D15:G15"/>
    <mergeCell ref="H15:I15"/>
    <mergeCell ref="J15:L15"/>
    <mergeCell ref="M15:N15"/>
    <mergeCell ref="B12:C12"/>
    <mergeCell ref="D12:G12"/>
    <mergeCell ref="H12:I12"/>
    <mergeCell ref="J12:L12"/>
    <mergeCell ref="M12:N12"/>
    <mergeCell ref="B13:C13"/>
    <mergeCell ref="D13:G13"/>
    <mergeCell ref="H13:I13"/>
    <mergeCell ref="J13:L13"/>
    <mergeCell ref="M13:N13"/>
    <mergeCell ref="B10:C10"/>
    <mergeCell ref="D10:G10"/>
    <mergeCell ref="H10:I10"/>
    <mergeCell ref="J10:L10"/>
    <mergeCell ref="M10:N10"/>
    <mergeCell ref="B11:C11"/>
    <mergeCell ref="D11:G11"/>
    <mergeCell ref="H11:I11"/>
    <mergeCell ref="A7:B7"/>
    <mergeCell ref="C7:N7"/>
    <mergeCell ref="A8:N8"/>
    <mergeCell ref="B9:C9"/>
    <mergeCell ref="D9:G9"/>
    <mergeCell ref="H9:I9"/>
    <mergeCell ref="J9:L9"/>
    <mergeCell ref="M9:N9"/>
    <mergeCell ref="J11:L11"/>
    <mergeCell ref="M11:N11"/>
    <mergeCell ref="I6:N6"/>
    <mergeCell ref="I5:J5"/>
    <mergeCell ref="K5:L5"/>
    <mergeCell ref="M5:N5"/>
    <mergeCell ref="G3:H3"/>
    <mergeCell ref="K4:L4"/>
    <mergeCell ref="M4:N4"/>
    <mergeCell ref="I3:J3"/>
    <mergeCell ref="K3:L3"/>
    <mergeCell ref="M3:N3"/>
    <mergeCell ref="I4:J4"/>
    <mergeCell ref="M2:N2"/>
    <mergeCell ref="G6:H6"/>
    <mergeCell ref="G5:H5"/>
    <mergeCell ref="G1:H1"/>
    <mergeCell ref="I1:J1"/>
    <mergeCell ref="G4:H4"/>
    <mergeCell ref="G2:H2"/>
    <mergeCell ref="K1:L1"/>
    <mergeCell ref="I2:J2"/>
    <mergeCell ref="K2:L2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3AE9AE96-26A3-4344-83A9-3694AE313951}">
      <formula1>Colors</formula1>
    </dataValidation>
    <dataValidation type="list" errorStyle="warning" allowBlank="1" showInputMessage="1" showErrorMessage="1" errorTitle="Unlisted" error="You have entered an unlisted item.  Please make sure the item entered is correct." sqref="D11:G36" xr:uid="{37F53E75-C7CC-4CF8-989D-D627066A80EA}">
      <formula1>SWPANEL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1685-8E80-4F91-9EDE-00348BD63D8D}">
  <sheetPr codeName="Sheet81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336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16" t="s">
        <v>353</v>
      </c>
      <c r="C9" s="417"/>
      <c r="D9" s="423" t="s">
        <v>240</v>
      </c>
      <c r="E9" s="423"/>
      <c r="F9" s="423"/>
      <c r="G9" s="424"/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413"/>
      <c r="C10" s="413"/>
      <c r="D10" s="413"/>
      <c r="E10" s="413"/>
      <c r="F10" s="413"/>
      <c r="G10" s="413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405"/>
      <c r="C11" s="405"/>
      <c r="D11" s="405"/>
      <c r="E11" s="405"/>
      <c r="F11" s="405"/>
      <c r="G11" s="405"/>
      <c r="H11" s="406"/>
      <c r="I11" s="406"/>
      <c r="J11" s="405"/>
      <c r="K11" s="405"/>
      <c r="L11" s="405"/>
      <c r="M11" s="405"/>
      <c r="N11" s="407"/>
    </row>
    <row r="12" spans="1:16" ht="13.5" customHeight="1" x14ac:dyDescent="0.25">
      <c r="A12" s="142"/>
      <c r="B12" s="405"/>
      <c r="C12" s="405"/>
      <c r="D12" s="405"/>
      <c r="E12" s="405"/>
      <c r="F12" s="405"/>
      <c r="G12" s="405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405"/>
      <c r="C13" s="405"/>
      <c r="D13" s="405"/>
      <c r="E13" s="405"/>
      <c r="F13" s="405"/>
      <c r="G13" s="405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405"/>
      <c r="C14" s="405"/>
      <c r="D14" s="405"/>
      <c r="E14" s="405"/>
      <c r="F14" s="405"/>
      <c r="G14" s="405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405"/>
      <c r="C15" s="405"/>
      <c r="D15" s="405"/>
      <c r="E15" s="405"/>
      <c r="F15" s="405"/>
      <c r="G15" s="405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405"/>
      <c r="C16" s="405"/>
      <c r="D16" s="405"/>
      <c r="E16" s="405"/>
      <c r="F16" s="405"/>
      <c r="G16" s="405"/>
      <c r="H16" s="406"/>
      <c r="I16" s="406"/>
      <c r="J16" s="405"/>
      <c r="K16" s="405"/>
      <c r="L16" s="405"/>
      <c r="M16" s="405"/>
      <c r="N16" s="407"/>
    </row>
    <row r="17" spans="1:14" ht="13.5" customHeight="1" x14ac:dyDescent="0.25">
      <c r="A17" s="142"/>
      <c r="B17" s="405"/>
      <c r="C17" s="405"/>
      <c r="D17" s="405"/>
      <c r="E17" s="405"/>
      <c r="F17" s="405"/>
      <c r="G17" s="405"/>
      <c r="H17" s="406"/>
      <c r="I17" s="406"/>
      <c r="J17" s="405"/>
      <c r="K17" s="405"/>
      <c r="L17" s="405"/>
      <c r="M17" s="405"/>
      <c r="N17" s="407"/>
    </row>
    <row r="18" spans="1:14" ht="13.5" customHeight="1" x14ac:dyDescent="0.25">
      <c r="A18" s="142"/>
      <c r="B18" s="405"/>
      <c r="C18" s="405"/>
      <c r="D18" s="405"/>
      <c r="E18" s="405"/>
      <c r="F18" s="405"/>
      <c r="G18" s="405"/>
      <c r="H18" s="406"/>
      <c r="I18" s="406"/>
      <c r="J18" s="405"/>
      <c r="K18" s="405"/>
      <c r="L18" s="405"/>
      <c r="M18" s="405"/>
      <c r="N18" s="407"/>
    </row>
    <row r="19" spans="1:14" ht="13.5" customHeight="1" x14ac:dyDescent="0.25">
      <c r="A19" s="142"/>
      <c r="B19" s="405"/>
      <c r="C19" s="405"/>
      <c r="D19" s="405"/>
      <c r="E19" s="405"/>
      <c r="F19" s="405"/>
      <c r="G19" s="405"/>
      <c r="H19" s="406"/>
      <c r="I19" s="406"/>
      <c r="J19" s="405"/>
      <c r="K19" s="405"/>
      <c r="L19" s="405"/>
      <c r="M19" s="405"/>
      <c r="N19" s="407"/>
    </row>
    <row r="20" spans="1:14" ht="13.5" customHeight="1" x14ac:dyDescent="0.25">
      <c r="A20" s="142"/>
      <c r="B20" s="405"/>
      <c r="C20" s="405"/>
      <c r="D20" s="405"/>
      <c r="E20" s="405"/>
      <c r="F20" s="405"/>
      <c r="G20" s="405"/>
      <c r="H20" s="406"/>
      <c r="I20" s="4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405"/>
      <c r="C21" s="405"/>
      <c r="D21" s="405"/>
      <c r="E21" s="405"/>
      <c r="F21" s="405"/>
      <c r="G21" s="405"/>
      <c r="H21" s="406"/>
      <c r="I21" s="406"/>
      <c r="J21" s="405"/>
      <c r="K21" s="405"/>
      <c r="L21" s="405"/>
      <c r="M21" s="405"/>
      <c r="N21" s="407"/>
    </row>
    <row r="22" spans="1:14" ht="13.5" customHeight="1" x14ac:dyDescent="0.25">
      <c r="A22" s="142"/>
      <c r="B22" s="405"/>
      <c r="C22" s="405"/>
      <c r="D22" s="405"/>
      <c r="E22" s="405"/>
      <c r="F22" s="405"/>
      <c r="G22" s="405"/>
      <c r="H22" s="406"/>
      <c r="I22" s="406"/>
      <c r="J22" s="405"/>
      <c r="K22" s="405"/>
      <c r="L22" s="405"/>
      <c r="M22" s="405"/>
      <c r="N22" s="407"/>
    </row>
    <row r="23" spans="1:14" ht="13.5" customHeight="1" x14ac:dyDescent="0.25">
      <c r="A23" s="142"/>
      <c r="B23" s="405"/>
      <c r="C23" s="405"/>
      <c r="D23" s="405"/>
      <c r="E23" s="405"/>
      <c r="F23" s="405"/>
      <c r="G23" s="405"/>
      <c r="H23" s="406"/>
      <c r="I23" s="406"/>
      <c r="J23" s="405"/>
      <c r="K23" s="405"/>
      <c r="L23" s="405"/>
      <c r="M23" s="405"/>
      <c r="N23" s="407"/>
    </row>
    <row r="24" spans="1:14" ht="13.5" customHeight="1" x14ac:dyDescent="0.25">
      <c r="A24" s="142"/>
      <c r="B24" s="405"/>
      <c r="C24" s="405"/>
      <c r="D24" s="405"/>
      <c r="E24" s="405"/>
      <c r="F24" s="405"/>
      <c r="G24" s="405"/>
      <c r="H24" s="406"/>
      <c r="I24" s="406"/>
      <c r="J24" s="405"/>
      <c r="K24" s="405"/>
      <c r="L24" s="405"/>
      <c r="M24" s="405"/>
      <c r="N24" s="407"/>
    </row>
    <row r="25" spans="1:14" ht="13.5" customHeight="1" x14ac:dyDescent="0.25">
      <c r="A25" s="142"/>
      <c r="B25" s="405"/>
      <c r="C25" s="405"/>
      <c r="D25" s="405"/>
      <c r="E25" s="405"/>
      <c r="F25" s="405"/>
      <c r="G25" s="405"/>
      <c r="H25" s="406"/>
      <c r="I25" s="406"/>
      <c r="J25" s="405"/>
      <c r="K25" s="405"/>
      <c r="L25" s="405"/>
      <c r="M25" s="405"/>
      <c r="N25" s="407"/>
    </row>
    <row r="26" spans="1:14" ht="13.5" customHeight="1" x14ac:dyDescent="0.25">
      <c r="A26" s="142"/>
      <c r="B26" s="405"/>
      <c r="C26" s="405"/>
      <c r="D26" s="405"/>
      <c r="E26" s="405"/>
      <c r="F26" s="405"/>
      <c r="G26" s="405"/>
      <c r="H26" s="406"/>
      <c r="I26" s="406"/>
      <c r="J26" s="405"/>
      <c r="K26" s="405"/>
      <c r="L26" s="405"/>
      <c r="M26" s="405"/>
      <c r="N26" s="407"/>
    </row>
    <row r="27" spans="1:14" ht="13.5" customHeight="1" x14ac:dyDescent="0.25">
      <c r="A27" s="142"/>
      <c r="B27" s="405"/>
      <c r="C27" s="405"/>
      <c r="D27" s="405"/>
      <c r="E27" s="405"/>
      <c r="F27" s="405"/>
      <c r="G27" s="405"/>
      <c r="H27" s="406"/>
      <c r="I27" s="406"/>
      <c r="J27" s="405"/>
      <c r="K27" s="405"/>
      <c r="L27" s="405"/>
      <c r="M27" s="405"/>
      <c r="N27" s="407"/>
    </row>
    <row r="28" spans="1:14" ht="13.5" customHeight="1" x14ac:dyDescent="0.25">
      <c r="A28" s="142"/>
      <c r="B28" s="405"/>
      <c r="C28" s="405"/>
      <c r="D28" s="405"/>
      <c r="E28" s="405"/>
      <c r="F28" s="405"/>
      <c r="G28" s="405"/>
      <c r="H28" s="406"/>
      <c r="I28" s="406"/>
      <c r="J28" s="405"/>
      <c r="K28" s="405"/>
      <c r="L28" s="405"/>
      <c r="M28" s="405"/>
      <c r="N28" s="407"/>
    </row>
    <row r="29" spans="1:14" ht="13.5" customHeight="1" x14ac:dyDescent="0.25">
      <c r="A29" s="142"/>
      <c r="B29" s="405"/>
      <c r="C29" s="405"/>
      <c r="D29" s="405"/>
      <c r="E29" s="405"/>
      <c r="F29" s="405"/>
      <c r="G29" s="405"/>
      <c r="H29" s="406"/>
      <c r="I29" s="406"/>
      <c r="J29" s="405"/>
      <c r="K29" s="405"/>
      <c r="L29" s="405"/>
      <c r="M29" s="405"/>
      <c r="N29" s="407"/>
    </row>
    <row r="30" spans="1:14" ht="13.5" customHeight="1" x14ac:dyDescent="0.25">
      <c r="A30" s="142"/>
      <c r="B30" s="405"/>
      <c r="C30" s="405"/>
      <c r="D30" s="405"/>
      <c r="E30" s="405"/>
      <c r="F30" s="405"/>
      <c r="G30" s="405"/>
      <c r="H30" s="406"/>
      <c r="I30" s="406"/>
      <c r="J30" s="405"/>
      <c r="K30" s="405"/>
      <c r="L30" s="405"/>
      <c r="M30" s="405"/>
      <c r="N30" s="407"/>
    </row>
    <row r="31" spans="1:14" ht="13.5" customHeight="1" x14ac:dyDescent="0.25">
      <c r="A31" s="142"/>
      <c r="B31" s="405"/>
      <c r="C31" s="405"/>
      <c r="D31" s="405"/>
      <c r="E31" s="405"/>
      <c r="F31" s="405"/>
      <c r="G31" s="405"/>
      <c r="H31" s="406"/>
      <c r="I31" s="406"/>
      <c r="J31" s="405"/>
      <c r="K31" s="405"/>
      <c r="L31" s="405"/>
      <c r="M31" s="405"/>
      <c r="N31" s="407"/>
    </row>
    <row r="32" spans="1:14" ht="13.5" customHeight="1" x14ac:dyDescent="0.25">
      <c r="A32" s="142"/>
      <c r="B32" s="405"/>
      <c r="C32" s="405"/>
      <c r="D32" s="405"/>
      <c r="E32" s="405"/>
      <c r="F32" s="405"/>
      <c r="G32" s="405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405"/>
      <c r="C33" s="405"/>
      <c r="D33" s="405"/>
      <c r="E33" s="405"/>
      <c r="F33" s="405"/>
      <c r="G33" s="405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405"/>
      <c r="C34" s="405"/>
      <c r="D34" s="405"/>
      <c r="E34" s="405"/>
      <c r="F34" s="405"/>
      <c r="G34" s="405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405"/>
      <c r="C35" s="405"/>
      <c r="D35" s="405"/>
      <c r="E35" s="405"/>
      <c r="F35" s="405"/>
      <c r="G35" s="405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142"/>
      <c r="B36" s="405"/>
      <c r="C36" s="405"/>
      <c r="D36" s="405"/>
      <c r="E36" s="405"/>
      <c r="F36" s="405"/>
      <c r="G36" s="405"/>
      <c r="H36" s="406"/>
      <c r="I36" s="4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408"/>
      <c r="C37" s="408"/>
      <c r="D37" s="408"/>
      <c r="E37" s="408"/>
      <c r="F37" s="408"/>
      <c r="G37" s="408"/>
      <c r="H37" s="409"/>
      <c r="I37" s="4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71">
    <mergeCell ref="K39:L39"/>
    <mergeCell ref="M39:N39"/>
    <mergeCell ref="B36:C36"/>
    <mergeCell ref="D36:G36"/>
    <mergeCell ref="H36:I36"/>
    <mergeCell ref="J36:L36"/>
    <mergeCell ref="M36:N36"/>
    <mergeCell ref="B37:C37"/>
    <mergeCell ref="D37:G37"/>
    <mergeCell ref="H37:I37"/>
    <mergeCell ref="J37:L37"/>
    <mergeCell ref="M37:N37"/>
    <mergeCell ref="B34:C34"/>
    <mergeCell ref="D34:G34"/>
    <mergeCell ref="H34:I34"/>
    <mergeCell ref="J34:L34"/>
    <mergeCell ref="M34:N34"/>
    <mergeCell ref="B35:C35"/>
    <mergeCell ref="D35:G35"/>
    <mergeCell ref="H35:I35"/>
    <mergeCell ref="J35:L35"/>
    <mergeCell ref="M35:N35"/>
    <mergeCell ref="B32:C32"/>
    <mergeCell ref="D32:G32"/>
    <mergeCell ref="H32:I32"/>
    <mergeCell ref="J32:L32"/>
    <mergeCell ref="M32:N32"/>
    <mergeCell ref="B33:C33"/>
    <mergeCell ref="D33:G33"/>
    <mergeCell ref="H33:I33"/>
    <mergeCell ref="J33:L33"/>
    <mergeCell ref="M33:N33"/>
    <mergeCell ref="B30:C30"/>
    <mergeCell ref="D30:G30"/>
    <mergeCell ref="H30:I30"/>
    <mergeCell ref="J30:L30"/>
    <mergeCell ref="M30:N30"/>
    <mergeCell ref="B31:C31"/>
    <mergeCell ref="D31:G31"/>
    <mergeCell ref="H31:I31"/>
    <mergeCell ref="J31:L31"/>
    <mergeCell ref="M31:N31"/>
    <mergeCell ref="B28:C28"/>
    <mergeCell ref="D28:G28"/>
    <mergeCell ref="H28:I28"/>
    <mergeCell ref="J28:L28"/>
    <mergeCell ref="M28:N28"/>
    <mergeCell ref="B29:C29"/>
    <mergeCell ref="D29:G29"/>
    <mergeCell ref="H29:I29"/>
    <mergeCell ref="J29:L29"/>
    <mergeCell ref="M29:N29"/>
    <mergeCell ref="B26:C26"/>
    <mergeCell ref="D26:G26"/>
    <mergeCell ref="H26:I26"/>
    <mergeCell ref="J26:L26"/>
    <mergeCell ref="M26:N26"/>
    <mergeCell ref="B27:C27"/>
    <mergeCell ref="D27:G27"/>
    <mergeCell ref="H27:I27"/>
    <mergeCell ref="J27:L27"/>
    <mergeCell ref="M27:N27"/>
    <mergeCell ref="B24:C24"/>
    <mergeCell ref="D24:G24"/>
    <mergeCell ref="H24:I24"/>
    <mergeCell ref="J24:L24"/>
    <mergeCell ref="M24:N24"/>
    <mergeCell ref="B25:C25"/>
    <mergeCell ref="D25:G25"/>
    <mergeCell ref="H25:I25"/>
    <mergeCell ref="J25:L25"/>
    <mergeCell ref="M25:N25"/>
    <mergeCell ref="B22:C22"/>
    <mergeCell ref="D22:G22"/>
    <mergeCell ref="H22:I22"/>
    <mergeCell ref="J22:L22"/>
    <mergeCell ref="M22:N22"/>
    <mergeCell ref="B23:C23"/>
    <mergeCell ref="D23:G23"/>
    <mergeCell ref="H23:I23"/>
    <mergeCell ref="J23:L23"/>
    <mergeCell ref="M23:N23"/>
    <mergeCell ref="B20:C20"/>
    <mergeCell ref="D20:G20"/>
    <mergeCell ref="H20:I20"/>
    <mergeCell ref="J20:L20"/>
    <mergeCell ref="M20:N20"/>
    <mergeCell ref="B21:C21"/>
    <mergeCell ref="D21:G21"/>
    <mergeCell ref="H21:I21"/>
    <mergeCell ref="J21:L21"/>
    <mergeCell ref="M21:N21"/>
    <mergeCell ref="B18:C18"/>
    <mergeCell ref="D18:G18"/>
    <mergeCell ref="H18:I18"/>
    <mergeCell ref="J18:L18"/>
    <mergeCell ref="M18:N18"/>
    <mergeCell ref="B19:C19"/>
    <mergeCell ref="D19:G19"/>
    <mergeCell ref="H19:I19"/>
    <mergeCell ref="J19:L19"/>
    <mergeCell ref="M19:N19"/>
    <mergeCell ref="B16:C16"/>
    <mergeCell ref="D16:G16"/>
    <mergeCell ref="H16:I16"/>
    <mergeCell ref="J16:L16"/>
    <mergeCell ref="M16:N16"/>
    <mergeCell ref="B17:C17"/>
    <mergeCell ref="D17:G17"/>
    <mergeCell ref="H17:I17"/>
    <mergeCell ref="J17:L17"/>
    <mergeCell ref="M17:N17"/>
    <mergeCell ref="B14:C14"/>
    <mergeCell ref="D14:G14"/>
    <mergeCell ref="H14:I14"/>
    <mergeCell ref="J14:L14"/>
    <mergeCell ref="M14:N14"/>
    <mergeCell ref="B15:C15"/>
    <mergeCell ref="D15:G15"/>
    <mergeCell ref="H15:I15"/>
    <mergeCell ref="J15:L15"/>
    <mergeCell ref="M15:N15"/>
    <mergeCell ref="B12:C12"/>
    <mergeCell ref="D12:G12"/>
    <mergeCell ref="H12:I12"/>
    <mergeCell ref="J12:L12"/>
    <mergeCell ref="M12:N12"/>
    <mergeCell ref="B13:C13"/>
    <mergeCell ref="D13:G13"/>
    <mergeCell ref="H13:I13"/>
    <mergeCell ref="J13:L13"/>
    <mergeCell ref="M13:N13"/>
    <mergeCell ref="B10:C10"/>
    <mergeCell ref="D10:G10"/>
    <mergeCell ref="H10:I10"/>
    <mergeCell ref="J10:L10"/>
    <mergeCell ref="M10:N10"/>
    <mergeCell ref="B11:C11"/>
    <mergeCell ref="D11:G11"/>
    <mergeCell ref="H11:I11"/>
    <mergeCell ref="A7:B7"/>
    <mergeCell ref="C7:N7"/>
    <mergeCell ref="A8:N8"/>
    <mergeCell ref="B9:C9"/>
    <mergeCell ref="D9:G9"/>
    <mergeCell ref="H9:I9"/>
    <mergeCell ref="J9:L9"/>
    <mergeCell ref="M9:N9"/>
    <mergeCell ref="J11:L11"/>
    <mergeCell ref="M11:N11"/>
    <mergeCell ref="I6:N6"/>
    <mergeCell ref="I5:J5"/>
    <mergeCell ref="K5:L5"/>
    <mergeCell ref="M5:N5"/>
    <mergeCell ref="G3:H3"/>
    <mergeCell ref="K4:L4"/>
    <mergeCell ref="M4:N4"/>
    <mergeCell ref="I3:J3"/>
    <mergeCell ref="K3:L3"/>
    <mergeCell ref="M3:N3"/>
    <mergeCell ref="I4:J4"/>
    <mergeCell ref="M2:N2"/>
    <mergeCell ref="G6:H6"/>
    <mergeCell ref="G5:H5"/>
    <mergeCell ref="G1:H1"/>
    <mergeCell ref="I1:J1"/>
    <mergeCell ref="G4:H4"/>
    <mergeCell ref="G2:H2"/>
    <mergeCell ref="K1:L1"/>
    <mergeCell ref="I2:J2"/>
    <mergeCell ref="K2:L2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D15634B9-1CED-4FA8-87C4-237A63368D8D}">
      <formula1>Colors</formula1>
    </dataValidation>
    <dataValidation type="list" errorStyle="warning" allowBlank="1" showInputMessage="1" showErrorMessage="1" errorTitle="Unlisted" error="You have entered an unlisted item.  Please make sure the item entered is correct." sqref="D11:G37" xr:uid="{C7F8599D-BD5A-43D2-B4EF-F3974C1D6BB5}">
      <formula1>EWPANEL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ABD2-B9FC-409A-83CB-32F5C4A3765D}">
  <sheetPr codeName="Sheet82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335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16" t="s">
        <v>353</v>
      </c>
      <c r="C9" s="417"/>
      <c r="D9" s="423" t="s">
        <v>240</v>
      </c>
      <c r="E9" s="423"/>
      <c r="F9" s="423"/>
      <c r="G9" s="424"/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413"/>
      <c r="C10" s="413"/>
      <c r="D10" s="413"/>
      <c r="E10" s="413"/>
      <c r="F10" s="413"/>
      <c r="G10" s="413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405"/>
      <c r="C11" s="405"/>
      <c r="D11" s="405"/>
      <c r="E11" s="405"/>
      <c r="F11" s="405"/>
      <c r="G11" s="405"/>
      <c r="H11" s="406"/>
      <c r="I11" s="406"/>
      <c r="J11" s="405"/>
      <c r="K11" s="405"/>
      <c r="L11" s="405"/>
      <c r="M11" s="405"/>
      <c r="N11" s="407"/>
    </row>
    <row r="12" spans="1:16" ht="13.5" customHeight="1" x14ac:dyDescent="0.25">
      <c r="A12" s="142"/>
      <c r="B12" s="405"/>
      <c r="C12" s="405"/>
      <c r="D12" s="405"/>
      <c r="E12" s="405"/>
      <c r="F12" s="405"/>
      <c r="G12" s="405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405"/>
      <c r="C13" s="405"/>
      <c r="D13" s="405"/>
      <c r="E13" s="405"/>
      <c r="F13" s="405"/>
      <c r="G13" s="405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405"/>
      <c r="C14" s="405"/>
      <c r="D14" s="405"/>
      <c r="E14" s="405"/>
      <c r="F14" s="405"/>
      <c r="G14" s="405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405"/>
      <c r="C15" s="405"/>
      <c r="D15" s="405"/>
      <c r="E15" s="405"/>
      <c r="F15" s="405"/>
      <c r="G15" s="405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405"/>
      <c r="C16" s="405"/>
      <c r="D16" s="405"/>
      <c r="E16" s="405"/>
      <c r="F16" s="405"/>
      <c r="G16" s="405"/>
      <c r="H16" s="406"/>
      <c r="I16" s="406"/>
      <c r="J16" s="405"/>
      <c r="K16" s="405"/>
      <c r="L16" s="405"/>
      <c r="M16" s="405"/>
      <c r="N16" s="407"/>
    </row>
    <row r="17" spans="1:14" ht="13.5" customHeight="1" x14ac:dyDescent="0.25">
      <c r="A17" s="142"/>
      <c r="B17" s="405"/>
      <c r="C17" s="405"/>
      <c r="D17" s="405"/>
      <c r="E17" s="405"/>
      <c r="F17" s="405"/>
      <c r="G17" s="405"/>
      <c r="H17" s="406"/>
      <c r="I17" s="406"/>
      <c r="J17" s="405"/>
      <c r="K17" s="405"/>
      <c r="L17" s="405"/>
      <c r="M17" s="405"/>
      <c r="N17" s="407"/>
    </row>
    <row r="18" spans="1:14" ht="13.5" customHeight="1" x14ac:dyDescent="0.25">
      <c r="A18" s="142"/>
      <c r="B18" s="405"/>
      <c r="C18" s="405"/>
      <c r="D18" s="405"/>
      <c r="E18" s="405"/>
      <c r="F18" s="405"/>
      <c r="G18" s="405"/>
      <c r="H18" s="406"/>
      <c r="I18" s="406"/>
      <c r="J18" s="405"/>
      <c r="K18" s="405"/>
      <c r="L18" s="405"/>
      <c r="M18" s="405"/>
      <c r="N18" s="407"/>
    </row>
    <row r="19" spans="1:14" ht="13.5" customHeight="1" x14ac:dyDescent="0.25">
      <c r="A19" s="142"/>
      <c r="B19" s="405"/>
      <c r="C19" s="405"/>
      <c r="D19" s="405"/>
      <c r="E19" s="405"/>
      <c r="F19" s="405"/>
      <c r="G19" s="405"/>
      <c r="H19" s="406"/>
      <c r="I19" s="406"/>
      <c r="J19" s="405"/>
      <c r="K19" s="405"/>
      <c r="L19" s="405"/>
      <c r="M19" s="405"/>
      <c r="N19" s="407"/>
    </row>
    <row r="20" spans="1:14" ht="13.5" customHeight="1" x14ac:dyDescent="0.25">
      <c r="A20" s="142"/>
      <c r="B20" s="405"/>
      <c r="C20" s="405"/>
      <c r="D20" s="405"/>
      <c r="E20" s="405"/>
      <c r="F20" s="405"/>
      <c r="G20" s="405"/>
      <c r="H20" s="406"/>
      <c r="I20" s="4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405"/>
      <c r="C21" s="405"/>
      <c r="D21" s="405"/>
      <c r="E21" s="405"/>
      <c r="F21" s="405"/>
      <c r="G21" s="405"/>
      <c r="H21" s="406"/>
      <c r="I21" s="406"/>
      <c r="J21" s="405"/>
      <c r="K21" s="405"/>
      <c r="L21" s="405"/>
      <c r="M21" s="405"/>
      <c r="N21" s="407"/>
    </row>
    <row r="22" spans="1:14" ht="13.5" customHeight="1" x14ac:dyDescent="0.25">
      <c r="A22" s="142"/>
      <c r="B22" s="405"/>
      <c r="C22" s="405"/>
      <c r="D22" s="405"/>
      <c r="E22" s="405"/>
      <c r="F22" s="405"/>
      <c r="G22" s="405"/>
      <c r="H22" s="406"/>
      <c r="I22" s="406"/>
      <c r="J22" s="405"/>
      <c r="K22" s="405"/>
      <c r="L22" s="405"/>
      <c r="M22" s="405"/>
      <c r="N22" s="407"/>
    </row>
    <row r="23" spans="1:14" ht="13.5" customHeight="1" x14ac:dyDescent="0.25">
      <c r="A23" s="142"/>
      <c r="B23" s="405"/>
      <c r="C23" s="405"/>
      <c r="D23" s="405"/>
      <c r="E23" s="405"/>
      <c r="F23" s="405"/>
      <c r="G23" s="405"/>
      <c r="H23" s="406"/>
      <c r="I23" s="406"/>
      <c r="J23" s="405"/>
      <c r="K23" s="405"/>
      <c r="L23" s="405"/>
      <c r="M23" s="405"/>
      <c r="N23" s="407"/>
    </row>
    <row r="24" spans="1:14" ht="13.5" customHeight="1" x14ac:dyDescent="0.25">
      <c r="A24" s="142"/>
      <c r="B24" s="405"/>
      <c r="C24" s="405"/>
      <c r="D24" s="405"/>
      <c r="E24" s="405"/>
      <c r="F24" s="405"/>
      <c r="G24" s="405"/>
      <c r="H24" s="406"/>
      <c r="I24" s="406"/>
      <c r="J24" s="405"/>
      <c r="K24" s="405"/>
      <c r="L24" s="405"/>
      <c r="M24" s="405"/>
      <c r="N24" s="407"/>
    </row>
    <row r="25" spans="1:14" ht="13.5" customHeight="1" x14ac:dyDescent="0.25">
      <c r="A25" s="142"/>
      <c r="B25" s="405"/>
      <c r="C25" s="405"/>
      <c r="D25" s="405"/>
      <c r="E25" s="405"/>
      <c r="F25" s="405"/>
      <c r="G25" s="405"/>
      <c r="H25" s="406"/>
      <c r="I25" s="406"/>
      <c r="J25" s="405"/>
      <c r="K25" s="405"/>
      <c r="L25" s="405"/>
      <c r="M25" s="405"/>
      <c r="N25" s="407"/>
    </row>
    <row r="26" spans="1:14" ht="13.5" customHeight="1" x14ac:dyDescent="0.25">
      <c r="A26" s="142"/>
      <c r="B26" s="405"/>
      <c r="C26" s="405"/>
      <c r="D26" s="405"/>
      <c r="E26" s="405"/>
      <c r="F26" s="405"/>
      <c r="G26" s="405"/>
      <c r="H26" s="406"/>
      <c r="I26" s="406"/>
      <c r="J26" s="405"/>
      <c r="K26" s="405"/>
      <c r="L26" s="405"/>
      <c r="M26" s="405"/>
      <c r="N26" s="407"/>
    </row>
    <row r="27" spans="1:14" ht="13.5" customHeight="1" x14ac:dyDescent="0.25">
      <c r="A27" s="142"/>
      <c r="B27" s="405"/>
      <c r="C27" s="405"/>
      <c r="D27" s="405"/>
      <c r="E27" s="405"/>
      <c r="F27" s="405"/>
      <c r="G27" s="405"/>
      <c r="H27" s="406"/>
      <c r="I27" s="406"/>
      <c r="J27" s="405"/>
      <c r="K27" s="405"/>
      <c r="L27" s="405"/>
      <c r="M27" s="405"/>
      <c r="N27" s="407"/>
    </row>
    <row r="28" spans="1:14" ht="13.5" customHeight="1" x14ac:dyDescent="0.25">
      <c r="A28" s="142"/>
      <c r="B28" s="405"/>
      <c r="C28" s="405"/>
      <c r="D28" s="405"/>
      <c r="E28" s="405"/>
      <c r="F28" s="405"/>
      <c r="G28" s="405"/>
      <c r="H28" s="406"/>
      <c r="I28" s="406"/>
      <c r="J28" s="405"/>
      <c r="K28" s="405"/>
      <c r="L28" s="405"/>
      <c r="M28" s="405"/>
      <c r="N28" s="407"/>
    </row>
    <row r="29" spans="1:14" ht="13.5" customHeight="1" x14ac:dyDescent="0.25">
      <c r="A29" s="142"/>
      <c r="B29" s="405"/>
      <c r="C29" s="405"/>
      <c r="D29" s="405"/>
      <c r="E29" s="405"/>
      <c r="F29" s="405"/>
      <c r="G29" s="405"/>
      <c r="H29" s="406"/>
      <c r="I29" s="406"/>
      <c r="J29" s="405"/>
      <c r="K29" s="405"/>
      <c r="L29" s="405"/>
      <c r="M29" s="405"/>
      <c r="N29" s="407"/>
    </row>
    <row r="30" spans="1:14" ht="13.5" customHeight="1" x14ac:dyDescent="0.25">
      <c r="A30" s="142"/>
      <c r="B30" s="405"/>
      <c r="C30" s="405"/>
      <c r="D30" s="405"/>
      <c r="E30" s="405"/>
      <c r="F30" s="405"/>
      <c r="G30" s="405"/>
      <c r="H30" s="406"/>
      <c r="I30" s="406"/>
      <c r="J30" s="405"/>
      <c r="K30" s="405"/>
      <c r="L30" s="405"/>
      <c r="M30" s="405"/>
      <c r="N30" s="407"/>
    </row>
    <row r="31" spans="1:14" ht="13.5" customHeight="1" x14ac:dyDescent="0.25">
      <c r="A31" s="142"/>
      <c r="B31" s="405"/>
      <c r="C31" s="405"/>
      <c r="D31" s="405"/>
      <c r="E31" s="405"/>
      <c r="F31" s="405"/>
      <c r="G31" s="405"/>
      <c r="H31" s="406"/>
      <c r="I31" s="406"/>
      <c r="J31" s="405"/>
      <c r="K31" s="405"/>
      <c r="L31" s="405"/>
      <c r="M31" s="405"/>
      <c r="N31" s="407"/>
    </row>
    <row r="32" spans="1:14" ht="13.5" customHeight="1" x14ac:dyDescent="0.25">
      <c r="A32" s="142"/>
      <c r="B32" s="405"/>
      <c r="C32" s="405"/>
      <c r="D32" s="405"/>
      <c r="E32" s="405"/>
      <c r="F32" s="405"/>
      <c r="G32" s="405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405"/>
      <c r="C33" s="405"/>
      <c r="D33" s="405"/>
      <c r="E33" s="405"/>
      <c r="F33" s="405"/>
      <c r="G33" s="405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405"/>
      <c r="C34" s="405"/>
      <c r="D34" s="405"/>
      <c r="E34" s="405"/>
      <c r="F34" s="405"/>
      <c r="G34" s="405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405"/>
      <c r="C35" s="405"/>
      <c r="D35" s="405"/>
      <c r="E35" s="405"/>
      <c r="F35" s="405"/>
      <c r="G35" s="405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142"/>
      <c r="B36" s="405"/>
      <c r="C36" s="405"/>
      <c r="D36" s="405"/>
      <c r="E36" s="405"/>
      <c r="F36" s="405"/>
      <c r="G36" s="405"/>
      <c r="H36" s="406"/>
      <c r="I36" s="4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408"/>
      <c r="C37" s="408"/>
      <c r="D37" s="408"/>
      <c r="E37" s="408"/>
      <c r="F37" s="408"/>
      <c r="G37" s="408"/>
      <c r="H37" s="409"/>
      <c r="I37" s="4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71">
    <mergeCell ref="K39:L39"/>
    <mergeCell ref="M39:N39"/>
    <mergeCell ref="B36:C36"/>
    <mergeCell ref="D36:G36"/>
    <mergeCell ref="H36:I36"/>
    <mergeCell ref="J36:L36"/>
    <mergeCell ref="M36:N36"/>
    <mergeCell ref="B37:C37"/>
    <mergeCell ref="D37:G37"/>
    <mergeCell ref="H37:I37"/>
    <mergeCell ref="J37:L37"/>
    <mergeCell ref="M37:N37"/>
    <mergeCell ref="B34:C34"/>
    <mergeCell ref="D34:G34"/>
    <mergeCell ref="H34:I34"/>
    <mergeCell ref="J34:L34"/>
    <mergeCell ref="M34:N34"/>
    <mergeCell ref="B35:C35"/>
    <mergeCell ref="D35:G35"/>
    <mergeCell ref="H35:I35"/>
    <mergeCell ref="J35:L35"/>
    <mergeCell ref="M35:N35"/>
    <mergeCell ref="B32:C32"/>
    <mergeCell ref="D32:G32"/>
    <mergeCell ref="H32:I32"/>
    <mergeCell ref="J32:L32"/>
    <mergeCell ref="M32:N32"/>
    <mergeCell ref="B33:C33"/>
    <mergeCell ref="D33:G33"/>
    <mergeCell ref="H33:I33"/>
    <mergeCell ref="J33:L33"/>
    <mergeCell ref="M33:N33"/>
    <mergeCell ref="B30:C30"/>
    <mergeCell ref="D30:G30"/>
    <mergeCell ref="H30:I30"/>
    <mergeCell ref="J30:L30"/>
    <mergeCell ref="M30:N30"/>
    <mergeCell ref="B31:C31"/>
    <mergeCell ref="D31:G31"/>
    <mergeCell ref="H31:I31"/>
    <mergeCell ref="J31:L31"/>
    <mergeCell ref="M31:N31"/>
    <mergeCell ref="B28:C28"/>
    <mergeCell ref="D28:G28"/>
    <mergeCell ref="H28:I28"/>
    <mergeCell ref="J28:L28"/>
    <mergeCell ref="M28:N28"/>
    <mergeCell ref="B29:C29"/>
    <mergeCell ref="D29:G29"/>
    <mergeCell ref="H29:I29"/>
    <mergeCell ref="J29:L29"/>
    <mergeCell ref="M29:N29"/>
    <mergeCell ref="B26:C26"/>
    <mergeCell ref="D26:G26"/>
    <mergeCell ref="H26:I26"/>
    <mergeCell ref="J26:L26"/>
    <mergeCell ref="M26:N26"/>
    <mergeCell ref="B27:C27"/>
    <mergeCell ref="D27:G27"/>
    <mergeCell ref="H27:I27"/>
    <mergeCell ref="J27:L27"/>
    <mergeCell ref="M27:N27"/>
    <mergeCell ref="B24:C24"/>
    <mergeCell ref="D24:G24"/>
    <mergeCell ref="H24:I24"/>
    <mergeCell ref="J24:L24"/>
    <mergeCell ref="M24:N24"/>
    <mergeCell ref="B25:C25"/>
    <mergeCell ref="D25:G25"/>
    <mergeCell ref="H25:I25"/>
    <mergeCell ref="J25:L25"/>
    <mergeCell ref="M25:N25"/>
    <mergeCell ref="B22:C22"/>
    <mergeCell ref="D22:G22"/>
    <mergeCell ref="H22:I22"/>
    <mergeCell ref="J22:L22"/>
    <mergeCell ref="M22:N22"/>
    <mergeCell ref="B23:C23"/>
    <mergeCell ref="D23:G23"/>
    <mergeCell ref="H23:I23"/>
    <mergeCell ref="J23:L23"/>
    <mergeCell ref="M23:N23"/>
    <mergeCell ref="B20:C20"/>
    <mergeCell ref="D20:G20"/>
    <mergeCell ref="H20:I20"/>
    <mergeCell ref="J20:L20"/>
    <mergeCell ref="M20:N20"/>
    <mergeCell ref="B21:C21"/>
    <mergeCell ref="D21:G21"/>
    <mergeCell ref="H21:I21"/>
    <mergeCell ref="J21:L21"/>
    <mergeCell ref="M21:N21"/>
    <mergeCell ref="B18:C18"/>
    <mergeCell ref="D18:G18"/>
    <mergeCell ref="H18:I18"/>
    <mergeCell ref="J18:L18"/>
    <mergeCell ref="M18:N18"/>
    <mergeCell ref="B19:C19"/>
    <mergeCell ref="D19:G19"/>
    <mergeCell ref="H19:I19"/>
    <mergeCell ref="J19:L19"/>
    <mergeCell ref="M19:N19"/>
    <mergeCell ref="B16:C16"/>
    <mergeCell ref="D16:G16"/>
    <mergeCell ref="H16:I16"/>
    <mergeCell ref="J16:L16"/>
    <mergeCell ref="M16:N16"/>
    <mergeCell ref="B17:C17"/>
    <mergeCell ref="D17:G17"/>
    <mergeCell ref="H17:I17"/>
    <mergeCell ref="J17:L17"/>
    <mergeCell ref="M17:N17"/>
    <mergeCell ref="B14:C14"/>
    <mergeCell ref="D14:G14"/>
    <mergeCell ref="H14:I14"/>
    <mergeCell ref="J14:L14"/>
    <mergeCell ref="M14:N14"/>
    <mergeCell ref="B15:C15"/>
    <mergeCell ref="D15:G15"/>
    <mergeCell ref="H15:I15"/>
    <mergeCell ref="J15:L15"/>
    <mergeCell ref="M15:N15"/>
    <mergeCell ref="B12:C12"/>
    <mergeCell ref="D12:G12"/>
    <mergeCell ref="H12:I12"/>
    <mergeCell ref="J12:L12"/>
    <mergeCell ref="M12:N12"/>
    <mergeCell ref="B13:C13"/>
    <mergeCell ref="D13:G13"/>
    <mergeCell ref="H13:I13"/>
    <mergeCell ref="J13:L13"/>
    <mergeCell ref="M13:N13"/>
    <mergeCell ref="B10:C10"/>
    <mergeCell ref="D10:G10"/>
    <mergeCell ref="H10:I10"/>
    <mergeCell ref="J10:L10"/>
    <mergeCell ref="M10:N10"/>
    <mergeCell ref="B11:C11"/>
    <mergeCell ref="D11:G11"/>
    <mergeCell ref="H11:I11"/>
    <mergeCell ref="A7:B7"/>
    <mergeCell ref="C7:N7"/>
    <mergeCell ref="A8:N8"/>
    <mergeCell ref="B9:C9"/>
    <mergeCell ref="D9:G9"/>
    <mergeCell ref="H9:I9"/>
    <mergeCell ref="J9:L9"/>
    <mergeCell ref="M9:N9"/>
    <mergeCell ref="J11:L11"/>
    <mergeCell ref="M11:N11"/>
    <mergeCell ref="I6:N6"/>
    <mergeCell ref="I5:J5"/>
    <mergeCell ref="K5:L5"/>
    <mergeCell ref="M5:N5"/>
    <mergeCell ref="G3:H3"/>
    <mergeCell ref="K4:L4"/>
    <mergeCell ref="M4:N4"/>
    <mergeCell ref="I3:J3"/>
    <mergeCell ref="K3:L3"/>
    <mergeCell ref="M3:N3"/>
    <mergeCell ref="I4:J4"/>
    <mergeCell ref="M2:N2"/>
    <mergeCell ref="G6:H6"/>
    <mergeCell ref="G5:H5"/>
    <mergeCell ref="G1:H1"/>
    <mergeCell ref="I1:J1"/>
    <mergeCell ref="G4:H4"/>
    <mergeCell ref="G2:H2"/>
    <mergeCell ref="K1:L1"/>
    <mergeCell ref="I2:J2"/>
    <mergeCell ref="K2:L2"/>
  </mergeCells>
  <phoneticPr fontId="0" type="noConversion"/>
  <dataValidations count="2">
    <dataValidation type="list" errorStyle="warning" allowBlank="1" showInputMessage="1" showErrorMessage="1" errorTitle="Unlisted" error="You have entered an unlisted item.  Please make sure the item entered is correct." sqref="H11:I37" xr:uid="{AC57B187-0A9D-42DA-9944-1602420E0B74}">
      <formula1>Colors</formula1>
    </dataValidation>
    <dataValidation type="list" errorStyle="warning" allowBlank="1" showInputMessage="1" showErrorMessage="1" errorTitle="Unlisted" error="You have entered an unlisted item.  Please make sure the item entered is correct." sqref="D11:G37" xr:uid="{CEE3BF60-ECFF-47ED-B2AD-9C8761A8DBD5}">
      <formula1>PANELS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CEB1-7510-4225-BD9A-03C5C5549067}">
  <sheetPr codeName="Sheet83"/>
  <dimension ref="A1:S39"/>
  <sheetViews>
    <sheetView workbookViewId="0">
      <selection activeCell="A19" sqref="A19"/>
    </sheetView>
  </sheetViews>
  <sheetFormatPr defaultRowHeight="13.2" x14ac:dyDescent="0.25"/>
  <cols>
    <col min="1" max="14" width="9.77734375" customWidth="1"/>
    <col min="16" max="16" width="9.21875" style="137" customWidth="1"/>
  </cols>
  <sheetData>
    <row r="1" spans="1:19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9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9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138"/>
    </row>
    <row r="4" spans="1:19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9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9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9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9" ht="19.5" customHeight="1" thickBot="1" x14ac:dyDescent="0.3">
      <c r="A8" s="416" t="s">
        <v>334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139"/>
    </row>
    <row r="9" spans="1:19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3"/>
      <c r="F9" s="423"/>
      <c r="G9" s="424"/>
      <c r="H9" s="38" t="s">
        <v>273</v>
      </c>
      <c r="I9" s="156" t="s">
        <v>676</v>
      </c>
      <c r="J9" s="67" t="s">
        <v>1434</v>
      </c>
      <c r="K9" s="422" t="s">
        <v>242</v>
      </c>
      <c r="L9" s="424"/>
      <c r="M9" s="67" t="s">
        <v>241</v>
      </c>
      <c r="N9" s="38" t="s">
        <v>327</v>
      </c>
    </row>
    <row r="10" spans="1:19" ht="13.5" customHeight="1" x14ac:dyDescent="0.25">
      <c r="A10" s="223"/>
      <c r="B10" s="195"/>
      <c r="C10" s="538"/>
      <c r="D10" s="538"/>
      <c r="E10" s="538"/>
      <c r="F10" s="538"/>
      <c r="G10" s="538"/>
      <c r="H10" s="108"/>
      <c r="I10" s="108"/>
      <c r="J10" s="108"/>
      <c r="K10" s="539"/>
      <c r="L10" s="539"/>
      <c r="M10" s="224"/>
      <c r="N10" s="197"/>
    </row>
    <row r="11" spans="1:19" ht="13.5" customHeight="1" x14ac:dyDescent="0.25">
      <c r="A11" s="142" t="str">
        <f>"@Data"</f>
        <v>@Data</v>
      </c>
      <c r="B11" s="143"/>
      <c r="C11" s="540"/>
      <c r="D11" s="540"/>
      <c r="E11" s="540"/>
      <c r="F11" s="540"/>
      <c r="G11" s="540"/>
      <c r="H11" s="187"/>
      <c r="I11" s="187"/>
      <c r="J11" s="225"/>
      <c r="K11" s="406"/>
      <c r="L11" s="406"/>
      <c r="M11" s="226"/>
      <c r="N11" s="154"/>
    </row>
    <row r="12" spans="1:19" ht="13.5" customHeight="1" x14ac:dyDescent="0.25">
      <c r="A12" s="142"/>
      <c r="B12" s="143"/>
      <c r="C12" s="540"/>
      <c r="D12" s="540"/>
      <c r="E12" s="540"/>
      <c r="F12" s="540"/>
      <c r="G12" s="540"/>
      <c r="H12" s="172"/>
      <c r="I12" s="187"/>
      <c r="J12" s="225"/>
      <c r="K12" s="406"/>
      <c r="L12" s="406"/>
      <c r="M12" s="226"/>
      <c r="N12" s="154"/>
      <c r="P12" s="140"/>
      <c r="R12" s="39"/>
      <c r="S12" s="39"/>
    </row>
    <row r="13" spans="1:19" ht="13.5" customHeight="1" x14ac:dyDescent="0.25">
      <c r="A13" s="142"/>
      <c r="B13" s="143"/>
      <c r="C13" s="540"/>
      <c r="D13" s="540"/>
      <c r="E13" s="540"/>
      <c r="F13" s="540"/>
      <c r="G13" s="540"/>
      <c r="H13" s="172"/>
      <c r="I13" s="187"/>
      <c r="J13" s="225"/>
      <c r="K13" s="406"/>
      <c r="L13" s="406"/>
      <c r="M13" s="226"/>
      <c r="N13" s="154"/>
      <c r="P13" s="140"/>
      <c r="Q13" s="39"/>
      <c r="R13" s="39"/>
      <c r="S13" s="39"/>
    </row>
    <row r="14" spans="1:19" ht="13.5" customHeight="1" x14ac:dyDescent="0.25">
      <c r="A14" s="142"/>
      <c r="B14" s="143"/>
      <c r="C14" s="540"/>
      <c r="D14" s="540"/>
      <c r="E14" s="540"/>
      <c r="F14" s="540"/>
      <c r="G14" s="540"/>
      <c r="H14" s="172"/>
      <c r="I14" s="187"/>
      <c r="J14" s="225"/>
      <c r="K14" s="406"/>
      <c r="L14" s="406"/>
      <c r="M14" s="226"/>
      <c r="N14" s="154"/>
      <c r="R14" s="39"/>
      <c r="S14" s="39"/>
    </row>
    <row r="15" spans="1:19" ht="13.5" customHeight="1" x14ac:dyDescent="0.25">
      <c r="A15" s="142"/>
      <c r="B15" s="143"/>
      <c r="C15" s="540"/>
      <c r="D15" s="540"/>
      <c r="E15" s="540"/>
      <c r="F15" s="540"/>
      <c r="G15" s="540"/>
      <c r="H15" s="172"/>
      <c r="I15" s="187"/>
      <c r="J15" s="225"/>
      <c r="K15" s="406"/>
      <c r="L15" s="406"/>
      <c r="M15" s="226"/>
      <c r="N15" s="154"/>
    </row>
    <row r="16" spans="1:19" ht="13.5" customHeight="1" x14ac:dyDescent="0.25">
      <c r="A16" s="142"/>
      <c r="B16" s="143"/>
      <c r="C16" s="540"/>
      <c r="D16" s="540"/>
      <c r="E16" s="540"/>
      <c r="F16" s="540"/>
      <c r="G16" s="540"/>
      <c r="H16" s="172"/>
      <c r="I16" s="187"/>
      <c r="J16" s="225"/>
      <c r="K16" s="406"/>
      <c r="L16" s="406"/>
      <c r="M16" s="226"/>
      <c r="N16" s="154"/>
    </row>
    <row r="17" spans="1:16" ht="13.5" customHeight="1" x14ac:dyDescent="0.25">
      <c r="A17" s="142"/>
      <c r="B17" s="143"/>
      <c r="C17" s="540"/>
      <c r="D17" s="540"/>
      <c r="E17" s="540"/>
      <c r="F17" s="540"/>
      <c r="G17" s="540"/>
      <c r="H17" s="172"/>
      <c r="I17" s="187"/>
      <c r="J17" s="225"/>
      <c r="K17" s="406"/>
      <c r="L17" s="406"/>
      <c r="M17" s="226"/>
      <c r="N17" s="154"/>
    </row>
    <row r="18" spans="1:16" ht="13.5" customHeight="1" x14ac:dyDescent="0.25">
      <c r="A18" s="142"/>
      <c r="B18" s="143"/>
      <c r="C18" s="540"/>
      <c r="D18" s="540"/>
      <c r="E18" s="540"/>
      <c r="F18" s="540"/>
      <c r="G18" s="540"/>
      <c r="H18" s="172"/>
      <c r="I18" s="187"/>
      <c r="J18" s="225"/>
      <c r="K18" s="406"/>
      <c r="L18" s="406"/>
      <c r="M18" s="226"/>
      <c r="N18" s="154"/>
    </row>
    <row r="19" spans="1:16" ht="13.5" customHeight="1" x14ac:dyDescent="0.25">
      <c r="A19" s="142"/>
      <c r="B19" s="143"/>
      <c r="C19" s="540"/>
      <c r="D19" s="540"/>
      <c r="E19" s="540"/>
      <c r="F19" s="540"/>
      <c r="G19" s="540"/>
      <c r="H19" s="172"/>
      <c r="I19" s="187"/>
      <c r="J19" s="225"/>
      <c r="K19" s="406"/>
      <c r="L19" s="406"/>
      <c r="M19" s="226"/>
      <c r="N19" s="154"/>
    </row>
    <row r="20" spans="1:16" ht="13.5" customHeight="1" x14ac:dyDescent="0.25">
      <c r="A20" s="142"/>
      <c r="B20" s="143"/>
      <c r="C20" s="540"/>
      <c r="D20" s="540"/>
      <c r="E20" s="540"/>
      <c r="F20" s="540"/>
      <c r="G20" s="540"/>
      <c r="H20" s="172"/>
      <c r="I20" s="187"/>
      <c r="J20" s="225"/>
      <c r="K20" s="406"/>
      <c r="L20" s="406"/>
      <c r="M20" s="226"/>
      <c r="N20" s="154"/>
    </row>
    <row r="21" spans="1:16" s="2" customFormat="1" ht="13.5" customHeight="1" x14ac:dyDescent="0.25">
      <c r="A21" s="142"/>
      <c r="B21" s="143"/>
      <c r="C21" s="540"/>
      <c r="D21" s="540"/>
      <c r="E21" s="540"/>
      <c r="F21" s="540"/>
      <c r="G21" s="540"/>
      <c r="H21" s="172"/>
      <c r="I21" s="187"/>
      <c r="J21" s="225"/>
      <c r="K21" s="406"/>
      <c r="L21" s="406"/>
      <c r="M21" s="226"/>
      <c r="N21" s="154"/>
      <c r="P21" s="141"/>
    </row>
    <row r="22" spans="1:16" ht="13.5" customHeight="1" x14ac:dyDescent="0.25">
      <c r="A22" s="142"/>
      <c r="B22" s="143"/>
      <c r="C22" s="540"/>
      <c r="D22" s="540"/>
      <c r="E22" s="540"/>
      <c r="F22" s="540"/>
      <c r="G22" s="540"/>
      <c r="H22" s="172"/>
      <c r="I22" s="187"/>
      <c r="J22" s="225"/>
      <c r="K22" s="406"/>
      <c r="L22" s="406"/>
      <c r="M22" s="226"/>
      <c r="N22" s="154"/>
    </row>
    <row r="23" spans="1:16" ht="13.5" customHeight="1" x14ac:dyDescent="0.25">
      <c r="A23" s="142"/>
      <c r="B23" s="143"/>
      <c r="C23" s="540"/>
      <c r="D23" s="540"/>
      <c r="E23" s="540"/>
      <c r="F23" s="540"/>
      <c r="G23" s="540"/>
      <c r="H23" s="172"/>
      <c r="I23" s="187"/>
      <c r="J23" s="225"/>
      <c r="K23" s="406"/>
      <c r="L23" s="406"/>
      <c r="M23" s="226"/>
      <c r="N23" s="154"/>
    </row>
    <row r="24" spans="1:16" ht="13.5" customHeight="1" x14ac:dyDescent="0.25">
      <c r="A24" s="142"/>
      <c r="B24" s="143"/>
      <c r="C24" s="540"/>
      <c r="D24" s="540"/>
      <c r="E24" s="540"/>
      <c r="F24" s="540"/>
      <c r="G24" s="540"/>
      <c r="H24" s="172"/>
      <c r="I24" s="187"/>
      <c r="J24" s="225"/>
      <c r="K24" s="406"/>
      <c r="L24" s="406"/>
      <c r="M24" s="226"/>
      <c r="N24" s="154"/>
    </row>
    <row r="25" spans="1:16" ht="13.5" customHeight="1" x14ac:dyDescent="0.25">
      <c r="A25" s="142"/>
      <c r="B25" s="143"/>
      <c r="C25" s="540"/>
      <c r="D25" s="540"/>
      <c r="E25" s="540"/>
      <c r="F25" s="540"/>
      <c r="G25" s="540"/>
      <c r="H25" s="172"/>
      <c r="I25" s="187"/>
      <c r="J25" s="225"/>
      <c r="K25" s="406"/>
      <c r="L25" s="406"/>
      <c r="M25" s="226"/>
      <c r="N25" s="154"/>
    </row>
    <row r="26" spans="1:16" ht="13.5" customHeight="1" x14ac:dyDescent="0.25">
      <c r="A26" s="142"/>
      <c r="B26" s="143"/>
      <c r="C26" s="540"/>
      <c r="D26" s="540"/>
      <c r="E26" s="540"/>
      <c r="F26" s="540"/>
      <c r="G26" s="540"/>
      <c r="H26" s="172"/>
      <c r="I26" s="187"/>
      <c r="J26" s="225"/>
      <c r="K26" s="406"/>
      <c r="L26" s="406"/>
      <c r="M26" s="226"/>
      <c r="N26" s="154"/>
    </row>
    <row r="27" spans="1:16" ht="13.5" customHeight="1" x14ac:dyDescent="0.25">
      <c r="A27" s="142"/>
      <c r="B27" s="143"/>
      <c r="C27" s="540"/>
      <c r="D27" s="540"/>
      <c r="E27" s="540"/>
      <c r="F27" s="540"/>
      <c r="G27" s="540"/>
      <c r="H27" s="172"/>
      <c r="I27" s="187"/>
      <c r="J27" s="225"/>
      <c r="K27" s="406"/>
      <c r="L27" s="406"/>
      <c r="M27" s="226"/>
      <c r="N27" s="154"/>
    </row>
    <row r="28" spans="1:16" ht="13.5" customHeight="1" x14ac:dyDescent="0.25">
      <c r="A28" s="142"/>
      <c r="B28" s="143"/>
      <c r="C28" s="540"/>
      <c r="D28" s="540"/>
      <c r="E28" s="540"/>
      <c r="F28" s="540"/>
      <c r="G28" s="540"/>
      <c r="H28" s="172"/>
      <c r="I28" s="187"/>
      <c r="J28" s="225"/>
      <c r="K28" s="406"/>
      <c r="L28" s="406"/>
      <c r="M28" s="226"/>
      <c r="N28" s="154"/>
    </row>
    <row r="29" spans="1:16" ht="13.5" customHeight="1" x14ac:dyDescent="0.25">
      <c r="A29" s="142"/>
      <c r="B29" s="143"/>
      <c r="C29" s="540"/>
      <c r="D29" s="540"/>
      <c r="E29" s="540"/>
      <c r="F29" s="540"/>
      <c r="G29" s="540"/>
      <c r="H29" s="172"/>
      <c r="I29" s="187"/>
      <c r="J29" s="225"/>
      <c r="K29" s="406"/>
      <c r="L29" s="406"/>
      <c r="M29" s="226"/>
      <c r="N29" s="154"/>
    </row>
    <row r="30" spans="1:16" ht="13.5" customHeight="1" x14ac:dyDescent="0.25">
      <c r="A30" s="142"/>
      <c r="B30" s="143"/>
      <c r="C30" s="540"/>
      <c r="D30" s="540"/>
      <c r="E30" s="540"/>
      <c r="F30" s="540"/>
      <c r="G30" s="540"/>
      <c r="H30" s="172"/>
      <c r="I30" s="187"/>
      <c r="J30" s="225"/>
      <c r="K30" s="406"/>
      <c r="L30" s="406"/>
      <c r="M30" s="226"/>
      <c r="N30" s="154"/>
    </row>
    <row r="31" spans="1:16" ht="13.5" customHeight="1" x14ac:dyDescent="0.25">
      <c r="A31" s="142"/>
      <c r="B31" s="143"/>
      <c r="C31" s="540"/>
      <c r="D31" s="540"/>
      <c r="E31" s="540"/>
      <c r="F31" s="540"/>
      <c r="G31" s="540"/>
      <c r="H31" s="172"/>
      <c r="I31" s="187"/>
      <c r="J31" s="225"/>
      <c r="K31" s="406"/>
      <c r="L31" s="406"/>
      <c r="M31" s="226"/>
      <c r="N31" s="154"/>
    </row>
    <row r="32" spans="1:16" ht="13.5" customHeight="1" x14ac:dyDescent="0.25">
      <c r="A32" s="142"/>
      <c r="B32" s="143"/>
      <c r="C32" s="540"/>
      <c r="D32" s="540"/>
      <c r="E32" s="540"/>
      <c r="F32" s="540"/>
      <c r="G32" s="540"/>
      <c r="H32" s="172"/>
      <c r="I32" s="187"/>
      <c r="J32" s="225"/>
      <c r="K32" s="406"/>
      <c r="L32" s="406"/>
      <c r="M32" s="226"/>
      <c r="N32" s="154"/>
    </row>
    <row r="33" spans="1:14" ht="13.5" customHeight="1" x14ac:dyDescent="0.25">
      <c r="A33" s="142"/>
      <c r="B33" s="143"/>
      <c r="C33" s="540"/>
      <c r="D33" s="540"/>
      <c r="E33" s="540"/>
      <c r="F33" s="540"/>
      <c r="G33" s="540"/>
      <c r="H33" s="172"/>
      <c r="I33" s="187"/>
      <c r="J33" s="225"/>
      <c r="K33" s="406"/>
      <c r="L33" s="406"/>
      <c r="M33" s="226"/>
      <c r="N33" s="154"/>
    </row>
    <row r="34" spans="1:14" ht="13.5" customHeight="1" x14ac:dyDescent="0.25">
      <c r="A34" s="142"/>
      <c r="B34" s="143"/>
      <c r="C34" s="540"/>
      <c r="D34" s="540"/>
      <c r="E34" s="540"/>
      <c r="F34" s="540"/>
      <c r="G34" s="540"/>
      <c r="H34" s="172"/>
      <c r="I34" s="187"/>
      <c r="J34" s="225"/>
      <c r="K34" s="406"/>
      <c r="L34" s="406"/>
      <c r="M34" s="226"/>
      <c r="N34" s="154"/>
    </row>
    <row r="35" spans="1:14" ht="13.5" customHeight="1" x14ac:dyDescent="0.25">
      <c r="A35" s="142"/>
      <c r="B35" s="143"/>
      <c r="C35" s="540"/>
      <c r="D35" s="540"/>
      <c r="E35" s="540"/>
      <c r="F35" s="540"/>
      <c r="G35" s="540"/>
      <c r="H35" s="172"/>
      <c r="I35" s="187"/>
      <c r="J35" s="225"/>
      <c r="K35" s="406"/>
      <c r="L35" s="406"/>
      <c r="M35" s="226"/>
      <c r="N35" s="154"/>
    </row>
    <row r="36" spans="1:14" ht="13.5" customHeight="1" x14ac:dyDescent="0.25">
      <c r="A36" s="142"/>
      <c r="B36" s="143"/>
      <c r="C36" s="540"/>
      <c r="D36" s="540"/>
      <c r="E36" s="540"/>
      <c r="F36" s="540"/>
      <c r="G36" s="540"/>
      <c r="H36" s="172"/>
      <c r="I36" s="187"/>
      <c r="J36" s="225"/>
      <c r="K36" s="406"/>
      <c r="L36" s="406"/>
      <c r="M36" s="226"/>
      <c r="N36" s="154"/>
    </row>
    <row r="37" spans="1:14" ht="13.5" customHeight="1" thickBot="1" x14ac:dyDescent="0.3">
      <c r="A37" s="144"/>
      <c r="B37" s="145"/>
      <c r="C37" s="541"/>
      <c r="D37" s="541"/>
      <c r="E37" s="541"/>
      <c r="F37" s="541"/>
      <c r="G37" s="541"/>
      <c r="H37" s="173"/>
      <c r="I37" s="188"/>
      <c r="J37" s="227"/>
      <c r="K37" s="409"/>
      <c r="L37" s="409"/>
      <c r="M37" s="228"/>
      <c r="N37" s="155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84">
    <mergeCell ref="K35:L35"/>
    <mergeCell ref="C33:G33"/>
    <mergeCell ref="C30:G30"/>
    <mergeCell ref="K33:L33"/>
    <mergeCell ref="K34:L34"/>
    <mergeCell ref="C35:G35"/>
    <mergeCell ref="C34:G34"/>
    <mergeCell ref="K32:L32"/>
    <mergeCell ref="K31:L31"/>
    <mergeCell ref="C32:G32"/>
    <mergeCell ref="M39:N39"/>
    <mergeCell ref="C36:G36"/>
    <mergeCell ref="K39:L39"/>
    <mergeCell ref="K36:L36"/>
    <mergeCell ref="K37:L37"/>
    <mergeCell ref="C37:G37"/>
    <mergeCell ref="K30:L30"/>
    <mergeCell ref="K28:L28"/>
    <mergeCell ref="K29:L29"/>
    <mergeCell ref="C29:G29"/>
    <mergeCell ref="C28:G28"/>
    <mergeCell ref="C19:G19"/>
    <mergeCell ref="K21:L21"/>
    <mergeCell ref="K22:L22"/>
    <mergeCell ref="K24:L24"/>
    <mergeCell ref="K20:L20"/>
    <mergeCell ref="K27:L27"/>
    <mergeCell ref="C26:G26"/>
    <mergeCell ref="C27:G27"/>
    <mergeCell ref="C20:G20"/>
    <mergeCell ref="K25:L25"/>
    <mergeCell ref="C21:G21"/>
    <mergeCell ref="C22:G22"/>
    <mergeCell ref="C23:G23"/>
    <mergeCell ref="C24:G24"/>
    <mergeCell ref="C25:G25"/>
    <mergeCell ref="C31:G31"/>
    <mergeCell ref="K26:L26"/>
    <mergeCell ref="K13:L13"/>
    <mergeCell ref="K14:L14"/>
    <mergeCell ref="C13:G13"/>
    <mergeCell ref="C14:G14"/>
    <mergeCell ref="C15:G15"/>
    <mergeCell ref="K23:L23"/>
    <mergeCell ref="C18:G18"/>
    <mergeCell ref="K19:L19"/>
    <mergeCell ref="I5:J5"/>
    <mergeCell ref="K5:L5"/>
    <mergeCell ref="K17:L17"/>
    <mergeCell ref="K18:L18"/>
    <mergeCell ref="C12:G12"/>
    <mergeCell ref="K12:L12"/>
    <mergeCell ref="K15:L15"/>
    <mergeCell ref="K16:L16"/>
    <mergeCell ref="C16:G16"/>
    <mergeCell ref="C17:G17"/>
    <mergeCell ref="A7:B7"/>
    <mergeCell ref="C11:G11"/>
    <mergeCell ref="A8:N8"/>
    <mergeCell ref="K9:L9"/>
    <mergeCell ref="C9:G9"/>
    <mergeCell ref="C10:G10"/>
    <mergeCell ref="K10:L10"/>
    <mergeCell ref="C7:N7"/>
    <mergeCell ref="M4:N4"/>
    <mergeCell ref="G2:H2"/>
    <mergeCell ref="G4:H4"/>
    <mergeCell ref="G3:H3"/>
    <mergeCell ref="I4:J4"/>
    <mergeCell ref="K11:L11"/>
    <mergeCell ref="M5:N5"/>
    <mergeCell ref="G5:H5"/>
    <mergeCell ref="G6:H6"/>
    <mergeCell ref="I6:N6"/>
    <mergeCell ref="I3:J3"/>
    <mergeCell ref="K3:L3"/>
    <mergeCell ref="M2:N2"/>
    <mergeCell ref="M3:N3"/>
    <mergeCell ref="K4:L4"/>
    <mergeCell ref="G1:H1"/>
    <mergeCell ref="I1:J1"/>
    <mergeCell ref="K1:L1"/>
    <mergeCell ref="I2:J2"/>
    <mergeCell ref="K2:L2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I11:I37" xr:uid="{0F08157C-CBD9-4F28-A7CC-FB975AA5A680}">
      <formula1>Gage</formula1>
    </dataValidation>
    <dataValidation type="list" errorStyle="warning" allowBlank="1" showInputMessage="1" showErrorMessage="1" errorTitle="Unlisted" error="You have entered an unlisted item.  Please make sure the item entered is correct." sqref="K11:L37" xr:uid="{AD736F77-3E1E-454A-B938-CEE6AE30ED9B}">
      <formula1>Colors</formula1>
    </dataValidation>
    <dataValidation type="list" errorStyle="warning" allowBlank="1" showInputMessage="1" showErrorMessage="1" errorTitle="Unlisted" error="You have entered an unlisted item.  Please make sure the item entered is correct." sqref="B11:B37" xr:uid="{1916433C-C19F-43E1-A053-33219BA196E7}">
      <formula1>TRIMMARK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5D1A-26C7-4894-AF28-9D8C7BF85BF4}">
  <sheetPr codeName="Sheet84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333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3" t="s">
        <v>240</v>
      </c>
      <c r="D9" s="423"/>
      <c r="E9" s="423"/>
      <c r="F9" s="424"/>
      <c r="G9" s="38" t="s">
        <v>271</v>
      </c>
      <c r="H9" s="422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62"/>
      <c r="B10" s="163"/>
      <c r="C10" s="529"/>
      <c r="D10" s="529"/>
      <c r="E10" s="529"/>
      <c r="F10" s="529"/>
      <c r="G10" s="163"/>
      <c r="H10" s="529"/>
      <c r="I10" s="529"/>
      <c r="J10" s="529"/>
      <c r="K10" s="529"/>
      <c r="L10" s="529"/>
      <c r="M10" s="529"/>
      <c r="N10" s="530"/>
    </row>
    <row r="11" spans="1:16" ht="13.5" customHeight="1" x14ac:dyDescent="0.25">
      <c r="A11" s="142" t="str">
        <f>"@Data"</f>
        <v>@Data</v>
      </c>
      <c r="B11" s="143"/>
      <c r="C11" s="405"/>
      <c r="D11" s="405"/>
      <c r="E11" s="405"/>
      <c r="F11" s="405"/>
      <c r="G11" s="152"/>
      <c r="H11" s="506"/>
      <c r="I11" s="506"/>
      <c r="J11" s="405"/>
      <c r="K11" s="405"/>
      <c r="L11" s="405"/>
      <c r="M11" s="405"/>
      <c r="N11" s="407"/>
    </row>
    <row r="12" spans="1:16" ht="13.5" customHeight="1" x14ac:dyDescent="0.25">
      <c r="A12" s="142"/>
      <c r="B12" s="143"/>
      <c r="C12" s="405"/>
      <c r="D12" s="405"/>
      <c r="E12" s="405"/>
      <c r="F12" s="405"/>
      <c r="G12" s="152"/>
      <c r="H12" s="506"/>
      <c r="I12" s="506"/>
      <c r="J12" s="405"/>
      <c r="K12" s="405"/>
      <c r="L12" s="405"/>
      <c r="M12" s="405"/>
      <c r="N12" s="407"/>
    </row>
    <row r="13" spans="1:16" ht="13.5" customHeight="1" x14ac:dyDescent="0.25">
      <c r="A13" s="142"/>
      <c r="B13" s="143"/>
      <c r="C13" s="405"/>
      <c r="D13" s="405"/>
      <c r="E13" s="405"/>
      <c r="F13" s="405"/>
      <c r="G13" s="152"/>
      <c r="H13" s="506"/>
      <c r="I13" s="506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05"/>
      <c r="D14" s="405"/>
      <c r="E14" s="405"/>
      <c r="F14" s="405"/>
      <c r="G14" s="152"/>
      <c r="H14" s="506"/>
      <c r="I14" s="506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05"/>
      <c r="D15" s="405"/>
      <c r="E15" s="405"/>
      <c r="F15" s="405"/>
      <c r="G15" s="152"/>
      <c r="H15" s="506"/>
      <c r="I15" s="506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05"/>
      <c r="D16" s="405"/>
      <c r="E16" s="405"/>
      <c r="F16" s="405"/>
      <c r="G16" s="152"/>
      <c r="H16" s="506"/>
      <c r="I16" s="506"/>
      <c r="J16" s="405"/>
      <c r="K16" s="405"/>
      <c r="L16" s="405"/>
      <c r="M16" s="405"/>
      <c r="N16" s="407"/>
    </row>
    <row r="17" spans="1:14" ht="13.5" customHeight="1" x14ac:dyDescent="0.25">
      <c r="A17" s="142"/>
      <c r="B17" s="143"/>
      <c r="C17" s="405"/>
      <c r="D17" s="405"/>
      <c r="E17" s="405"/>
      <c r="F17" s="405"/>
      <c r="G17" s="152"/>
      <c r="H17" s="506"/>
      <c r="I17" s="506"/>
      <c r="J17" s="405"/>
      <c r="K17" s="405"/>
      <c r="L17" s="405"/>
      <c r="M17" s="405"/>
      <c r="N17" s="407"/>
    </row>
    <row r="18" spans="1:14" ht="13.5" customHeight="1" x14ac:dyDescent="0.25">
      <c r="A18" s="142"/>
      <c r="B18" s="143"/>
      <c r="C18" s="405"/>
      <c r="D18" s="405"/>
      <c r="E18" s="405"/>
      <c r="F18" s="405"/>
      <c r="G18" s="152"/>
      <c r="H18" s="506"/>
      <c r="I18" s="506"/>
      <c r="J18" s="405"/>
      <c r="K18" s="405"/>
      <c r="L18" s="405"/>
      <c r="M18" s="405"/>
      <c r="N18" s="407"/>
    </row>
    <row r="19" spans="1:14" ht="13.5" customHeight="1" x14ac:dyDescent="0.25">
      <c r="A19" s="142"/>
      <c r="B19" s="143"/>
      <c r="C19" s="405"/>
      <c r="D19" s="405"/>
      <c r="E19" s="405"/>
      <c r="F19" s="405"/>
      <c r="G19" s="152"/>
      <c r="H19" s="506"/>
      <c r="I19" s="506"/>
      <c r="J19" s="405"/>
      <c r="K19" s="405"/>
      <c r="L19" s="405"/>
      <c r="M19" s="405"/>
      <c r="N19" s="407"/>
    </row>
    <row r="20" spans="1:14" ht="13.5" customHeight="1" x14ac:dyDescent="0.25">
      <c r="A20" s="142"/>
      <c r="B20" s="143"/>
      <c r="C20" s="405"/>
      <c r="D20" s="405"/>
      <c r="E20" s="405"/>
      <c r="F20" s="405"/>
      <c r="G20" s="152"/>
      <c r="H20" s="506"/>
      <c r="I20" s="5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143"/>
      <c r="C21" s="405"/>
      <c r="D21" s="405"/>
      <c r="E21" s="405"/>
      <c r="F21" s="405"/>
      <c r="G21" s="152"/>
      <c r="H21" s="506"/>
      <c r="I21" s="506"/>
      <c r="J21" s="405"/>
      <c r="K21" s="405"/>
      <c r="L21" s="405"/>
      <c r="M21" s="405"/>
      <c r="N21" s="407"/>
    </row>
    <row r="22" spans="1:14" ht="13.5" customHeight="1" x14ac:dyDescent="0.25">
      <c r="A22" s="142"/>
      <c r="B22" s="143"/>
      <c r="C22" s="405"/>
      <c r="D22" s="405"/>
      <c r="E22" s="405"/>
      <c r="F22" s="405"/>
      <c r="G22" s="152"/>
      <c r="H22" s="506"/>
      <c r="I22" s="506"/>
      <c r="J22" s="405"/>
      <c r="K22" s="405"/>
      <c r="L22" s="405"/>
      <c r="M22" s="405"/>
      <c r="N22" s="407"/>
    </row>
    <row r="23" spans="1:14" ht="13.5" customHeight="1" x14ac:dyDescent="0.25">
      <c r="A23" s="142"/>
      <c r="B23" s="143"/>
      <c r="C23" s="405"/>
      <c r="D23" s="405"/>
      <c r="E23" s="405"/>
      <c r="F23" s="405"/>
      <c r="G23" s="152"/>
      <c r="H23" s="506"/>
      <c r="I23" s="506"/>
      <c r="J23" s="405"/>
      <c r="K23" s="405"/>
      <c r="L23" s="405"/>
      <c r="M23" s="405"/>
      <c r="N23" s="407"/>
    </row>
    <row r="24" spans="1:14" ht="13.5" customHeight="1" x14ac:dyDescent="0.25">
      <c r="A24" s="142"/>
      <c r="B24" s="143"/>
      <c r="C24" s="405"/>
      <c r="D24" s="405"/>
      <c r="E24" s="405"/>
      <c r="F24" s="405"/>
      <c r="G24" s="152"/>
      <c r="H24" s="506"/>
      <c r="I24" s="506"/>
      <c r="J24" s="405"/>
      <c r="K24" s="405"/>
      <c r="L24" s="405"/>
      <c r="M24" s="405"/>
      <c r="N24" s="407"/>
    </row>
    <row r="25" spans="1:14" ht="13.5" customHeight="1" x14ac:dyDescent="0.25">
      <c r="A25" s="142"/>
      <c r="B25" s="143"/>
      <c r="C25" s="405"/>
      <c r="D25" s="405"/>
      <c r="E25" s="405"/>
      <c r="F25" s="405"/>
      <c r="G25" s="152"/>
      <c r="H25" s="506"/>
      <c r="I25" s="506"/>
      <c r="J25" s="405"/>
      <c r="K25" s="405"/>
      <c r="L25" s="405"/>
      <c r="M25" s="405"/>
      <c r="N25" s="407"/>
    </row>
    <row r="26" spans="1:14" ht="13.5" customHeight="1" x14ac:dyDescent="0.25">
      <c r="A26" s="142"/>
      <c r="B26" s="143"/>
      <c r="C26" s="405"/>
      <c r="D26" s="405"/>
      <c r="E26" s="405"/>
      <c r="F26" s="405"/>
      <c r="G26" s="152"/>
      <c r="H26" s="506"/>
      <c r="I26" s="506"/>
      <c r="J26" s="405"/>
      <c r="K26" s="405"/>
      <c r="L26" s="405"/>
      <c r="M26" s="405"/>
      <c r="N26" s="407"/>
    </row>
    <row r="27" spans="1:14" ht="13.5" customHeight="1" x14ac:dyDescent="0.25">
      <c r="A27" s="142"/>
      <c r="B27" s="143"/>
      <c r="C27" s="405"/>
      <c r="D27" s="405"/>
      <c r="E27" s="405"/>
      <c r="F27" s="405"/>
      <c r="G27" s="152"/>
      <c r="H27" s="506"/>
      <c r="I27" s="506"/>
      <c r="J27" s="405"/>
      <c r="K27" s="405"/>
      <c r="L27" s="405"/>
      <c r="M27" s="405"/>
      <c r="N27" s="407"/>
    </row>
    <row r="28" spans="1:14" ht="13.5" customHeight="1" x14ac:dyDescent="0.25">
      <c r="A28" s="142"/>
      <c r="B28" s="143"/>
      <c r="C28" s="405"/>
      <c r="D28" s="405"/>
      <c r="E28" s="405"/>
      <c r="F28" s="405"/>
      <c r="G28" s="152"/>
      <c r="H28" s="506"/>
      <c r="I28" s="506"/>
      <c r="J28" s="405"/>
      <c r="K28" s="405"/>
      <c r="L28" s="405"/>
      <c r="M28" s="405"/>
      <c r="N28" s="407"/>
    </row>
    <row r="29" spans="1:14" ht="13.5" customHeight="1" x14ac:dyDescent="0.25">
      <c r="A29" s="142"/>
      <c r="B29" s="143"/>
      <c r="C29" s="405"/>
      <c r="D29" s="405"/>
      <c r="E29" s="405"/>
      <c r="F29" s="405"/>
      <c r="G29" s="152"/>
      <c r="H29" s="506"/>
      <c r="I29" s="506"/>
      <c r="J29" s="405"/>
      <c r="K29" s="405"/>
      <c r="L29" s="405"/>
      <c r="M29" s="405"/>
      <c r="N29" s="407"/>
    </row>
    <row r="30" spans="1:14" ht="13.5" customHeight="1" x14ac:dyDescent="0.25">
      <c r="A30" s="142"/>
      <c r="B30" s="143"/>
      <c r="C30" s="405"/>
      <c r="D30" s="405"/>
      <c r="E30" s="405"/>
      <c r="F30" s="405"/>
      <c r="G30" s="152"/>
      <c r="H30" s="506"/>
      <c r="I30" s="506"/>
      <c r="J30" s="405"/>
      <c r="K30" s="405"/>
      <c r="L30" s="405"/>
      <c r="M30" s="405"/>
      <c r="N30" s="407"/>
    </row>
    <row r="31" spans="1:14" ht="13.5" customHeight="1" x14ac:dyDescent="0.25">
      <c r="A31" s="142"/>
      <c r="B31" s="143"/>
      <c r="C31" s="405"/>
      <c r="D31" s="405"/>
      <c r="E31" s="405"/>
      <c r="F31" s="405"/>
      <c r="G31" s="152"/>
      <c r="H31" s="506"/>
      <c r="I31" s="506"/>
      <c r="J31" s="405"/>
      <c r="K31" s="405"/>
      <c r="L31" s="405"/>
      <c r="M31" s="405"/>
      <c r="N31" s="407"/>
    </row>
    <row r="32" spans="1:14" ht="13.5" customHeight="1" x14ac:dyDescent="0.25">
      <c r="A32" s="142"/>
      <c r="B32" s="143"/>
      <c r="C32" s="405"/>
      <c r="D32" s="405"/>
      <c r="E32" s="405"/>
      <c r="F32" s="405"/>
      <c r="G32" s="152"/>
      <c r="H32" s="506"/>
      <c r="I32" s="506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05"/>
      <c r="D33" s="405"/>
      <c r="E33" s="405"/>
      <c r="F33" s="405"/>
      <c r="G33" s="152"/>
      <c r="H33" s="506"/>
      <c r="I33" s="506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05"/>
      <c r="D34" s="405"/>
      <c r="E34" s="405"/>
      <c r="F34" s="405"/>
      <c r="G34" s="152"/>
      <c r="H34" s="506"/>
      <c r="I34" s="506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05"/>
      <c r="D35" s="405"/>
      <c r="E35" s="405"/>
      <c r="F35" s="405"/>
      <c r="G35" s="152"/>
      <c r="H35" s="506"/>
      <c r="I35" s="506"/>
      <c r="J35" s="405"/>
      <c r="K35" s="405"/>
      <c r="L35" s="405"/>
      <c r="M35" s="405"/>
      <c r="N35" s="407"/>
    </row>
    <row r="36" spans="1:14" ht="13.5" customHeight="1" x14ac:dyDescent="0.25">
      <c r="A36" s="142"/>
      <c r="B36" s="143"/>
      <c r="C36" s="405"/>
      <c r="D36" s="405"/>
      <c r="E36" s="405"/>
      <c r="F36" s="405"/>
      <c r="G36" s="152"/>
      <c r="H36" s="506"/>
      <c r="I36" s="5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145"/>
      <c r="C37" s="408"/>
      <c r="D37" s="408"/>
      <c r="E37" s="408"/>
      <c r="F37" s="408"/>
      <c r="G37" s="153"/>
      <c r="H37" s="509"/>
      <c r="I37" s="5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42">
    <mergeCell ref="J35:L35"/>
    <mergeCell ref="M35:N35"/>
    <mergeCell ref="C36:F36"/>
    <mergeCell ref="H36:I36"/>
    <mergeCell ref="C35:F35"/>
    <mergeCell ref="H35:I35"/>
    <mergeCell ref="C34:F34"/>
    <mergeCell ref="H34:I34"/>
    <mergeCell ref="K39:L39"/>
    <mergeCell ref="M39:N39"/>
    <mergeCell ref="J36:L36"/>
    <mergeCell ref="M36:N36"/>
    <mergeCell ref="J37:L37"/>
    <mergeCell ref="M37:N37"/>
    <mergeCell ref="C37:F37"/>
    <mergeCell ref="H37:I37"/>
    <mergeCell ref="J29:L29"/>
    <mergeCell ref="M29:N29"/>
    <mergeCell ref="C32:F32"/>
    <mergeCell ref="H32:I32"/>
    <mergeCell ref="C33:F33"/>
    <mergeCell ref="H33:I33"/>
    <mergeCell ref="C31:F31"/>
    <mergeCell ref="H31:I31"/>
    <mergeCell ref="C29:F29"/>
    <mergeCell ref="H29:I29"/>
    <mergeCell ref="C30:F30"/>
    <mergeCell ref="H30:I30"/>
    <mergeCell ref="J34:L34"/>
    <mergeCell ref="M34:N34"/>
    <mergeCell ref="J31:L31"/>
    <mergeCell ref="M31:N31"/>
    <mergeCell ref="J32:L32"/>
    <mergeCell ref="M32:N32"/>
    <mergeCell ref="J33:L33"/>
    <mergeCell ref="M33:N33"/>
    <mergeCell ref="J30:L30"/>
    <mergeCell ref="M30:N30"/>
    <mergeCell ref="C27:F27"/>
    <mergeCell ref="H27:I27"/>
    <mergeCell ref="J27:L27"/>
    <mergeCell ref="M27:N27"/>
    <mergeCell ref="C28:F28"/>
    <mergeCell ref="H28:I28"/>
    <mergeCell ref="J28:L28"/>
    <mergeCell ref="M28:N28"/>
    <mergeCell ref="C25:F25"/>
    <mergeCell ref="H25:I25"/>
    <mergeCell ref="J25:L25"/>
    <mergeCell ref="M25:N25"/>
    <mergeCell ref="C26:F26"/>
    <mergeCell ref="H26:I26"/>
    <mergeCell ref="J26:L26"/>
    <mergeCell ref="M26:N26"/>
    <mergeCell ref="C23:F23"/>
    <mergeCell ref="H23:I23"/>
    <mergeCell ref="J23:L23"/>
    <mergeCell ref="M23:N23"/>
    <mergeCell ref="C24:F24"/>
    <mergeCell ref="H24:I24"/>
    <mergeCell ref="J24:L24"/>
    <mergeCell ref="M24:N24"/>
    <mergeCell ref="C21:F21"/>
    <mergeCell ref="H21:I21"/>
    <mergeCell ref="J21:L21"/>
    <mergeCell ref="M21:N21"/>
    <mergeCell ref="C22:F22"/>
    <mergeCell ref="H22:I22"/>
    <mergeCell ref="J22:L22"/>
    <mergeCell ref="M22:N22"/>
    <mergeCell ref="C19:F19"/>
    <mergeCell ref="H19:I19"/>
    <mergeCell ref="J19:L19"/>
    <mergeCell ref="M19:N19"/>
    <mergeCell ref="C20:F20"/>
    <mergeCell ref="H20:I20"/>
    <mergeCell ref="J20:L20"/>
    <mergeCell ref="M20:N20"/>
    <mergeCell ref="C17:F17"/>
    <mergeCell ref="H17:I17"/>
    <mergeCell ref="J17:L17"/>
    <mergeCell ref="M17:N17"/>
    <mergeCell ref="C18:F18"/>
    <mergeCell ref="H18:I18"/>
    <mergeCell ref="J18:L18"/>
    <mergeCell ref="M18:N18"/>
    <mergeCell ref="C15:F15"/>
    <mergeCell ref="H15:I15"/>
    <mergeCell ref="J15:L15"/>
    <mergeCell ref="M15:N15"/>
    <mergeCell ref="C16:F16"/>
    <mergeCell ref="H16:I16"/>
    <mergeCell ref="J16:L16"/>
    <mergeCell ref="M16:N16"/>
    <mergeCell ref="M13:N13"/>
    <mergeCell ref="C14:F14"/>
    <mergeCell ref="H14:I14"/>
    <mergeCell ref="J14:L14"/>
    <mergeCell ref="M14:N14"/>
    <mergeCell ref="C13:F13"/>
    <mergeCell ref="H13:I13"/>
    <mergeCell ref="J13:L13"/>
    <mergeCell ref="C12:F12"/>
    <mergeCell ref="H12:I12"/>
    <mergeCell ref="J12:L12"/>
    <mergeCell ref="M12:N12"/>
    <mergeCell ref="C11:F11"/>
    <mergeCell ref="H11:I11"/>
    <mergeCell ref="J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C9:F9"/>
    <mergeCell ref="H9:I9"/>
    <mergeCell ref="J9:L9"/>
    <mergeCell ref="C10:F10"/>
    <mergeCell ref="H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2">
    <dataValidation errorStyle="warning" allowBlank="1" showInputMessage="1" showErrorMessage="1" errorTitle="Unlisted" error="You have entered an unlisted item.  Please make sure the item entered is correct." sqref="H11:I37" xr:uid="{2A7C7B62-C291-4D20-BAE8-75C07DF7C0B4}"/>
    <dataValidation type="list" errorStyle="warning" allowBlank="1" showInputMessage="1" showErrorMessage="1" errorTitle="Unlisted" error="You have entered an unlisted item.  Please make sure the item entered is correct." sqref="B11:B37" xr:uid="{2A5B9405-3CCA-4368-BB28-ECE538EF7E6A}">
      <formula1>SSRHDW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FAAB-0E38-4679-A8C6-24F9E9475585}">
  <sheetPr codeName="Sheet85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332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3"/>
      <c r="F9" s="423"/>
      <c r="G9" s="424"/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413"/>
      <c r="G10" s="413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143"/>
      <c r="C11" s="447"/>
      <c r="D11" s="440"/>
      <c r="E11" s="440"/>
      <c r="F11" s="440"/>
      <c r="G11" s="469"/>
      <c r="H11" s="406"/>
      <c r="I11" s="406"/>
      <c r="J11" s="405"/>
      <c r="K11" s="405"/>
      <c r="L11" s="405"/>
      <c r="M11" s="405"/>
      <c r="N11" s="407"/>
    </row>
    <row r="12" spans="1:16" ht="13.5" customHeight="1" x14ac:dyDescent="0.25">
      <c r="A12" s="142"/>
      <c r="B12" s="143"/>
      <c r="C12" s="447"/>
      <c r="D12" s="440"/>
      <c r="E12" s="440"/>
      <c r="F12" s="440"/>
      <c r="G12" s="469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143"/>
      <c r="C13" s="447"/>
      <c r="D13" s="440"/>
      <c r="E13" s="440"/>
      <c r="F13" s="440"/>
      <c r="G13" s="469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47"/>
      <c r="D14" s="440"/>
      <c r="E14" s="440"/>
      <c r="F14" s="440"/>
      <c r="G14" s="469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47"/>
      <c r="D15" s="440"/>
      <c r="E15" s="440"/>
      <c r="F15" s="440"/>
      <c r="G15" s="469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47"/>
      <c r="D16" s="440"/>
      <c r="E16" s="440"/>
      <c r="F16" s="440"/>
      <c r="G16" s="469"/>
      <c r="H16" s="406"/>
      <c r="I16" s="406"/>
      <c r="J16" s="405"/>
      <c r="K16" s="405"/>
      <c r="L16" s="405"/>
      <c r="M16" s="405"/>
      <c r="N16" s="407"/>
    </row>
    <row r="17" spans="1:14" ht="13.5" customHeight="1" x14ac:dyDescent="0.25">
      <c r="A17" s="142"/>
      <c r="B17" s="143"/>
      <c r="C17" s="447"/>
      <c r="D17" s="440"/>
      <c r="E17" s="440"/>
      <c r="F17" s="440"/>
      <c r="G17" s="469"/>
      <c r="H17" s="406"/>
      <c r="I17" s="406"/>
      <c r="J17" s="405"/>
      <c r="K17" s="405"/>
      <c r="L17" s="405"/>
      <c r="M17" s="405"/>
      <c r="N17" s="407"/>
    </row>
    <row r="18" spans="1:14" ht="13.5" customHeight="1" x14ac:dyDescent="0.25">
      <c r="A18" s="142"/>
      <c r="B18" s="143"/>
      <c r="C18" s="447"/>
      <c r="D18" s="440"/>
      <c r="E18" s="440"/>
      <c r="F18" s="440"/>
      <c r="G18" s="469"/>
      <c r="H18" s="406"/>
      <c r="I18" s="406"/>
      <c r="J18" s="405"/>
      <c r="K18" s="405"/>
      <c r="L18" s="405"/>
      <c r="M18" s="405"/>
      <c r="N18" s="407"/>
    </row>
    <row r="19" spans="1:14" ht="13.5" customHeight="1" x14ac:dyDescent="0.25">
      <c r="A19" s="142"/>
      <c r="B19" s="143"/>
      <c r="C19" s="447"/>
      <c r="D19" s="440"/>
      <c r="E19" s="440"/>
      <c r="F19" s="440"/>
      <c r="G19" s="469"/>
      <c r="H19" s="406"/>
      <c r="I19" s="406"/>
      <c r="J19" s="405"/>
      <c r="K19" s="405"/>
      <c r="L19" s="405"/>
      <c r="M19" s="405"/>
      <c r="N19" s="407"/>
    </row>
    <row r="20" spans="1:14" ht="13.5" customHeight="1" x14ac:dyDescent="0.25">
      <c r="A20" s="142"/>
      <c r="B20" s="143"/>
      <c r="C20" s="447"/>
      <c r="D20" s="440"/>
      <c r="E20" s="440"/>
      <c r="F20" s="440"/>
      <c r="G20" s="469"/>
      <c r="H20" s="406"/>
      <c r="I20" s="4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143"/>
      <c r="C21" s="447"/>
      <c r="D21" s="440"/>
      <c r="E21" s="440"/>
      <c r="F21" s="440"/>
      <c r="G21" s="469"/>
      <c r="H21" s="406"/>
      <c r="I21" s="406"/>
      <c r="J21" s="405"/>
      <c r="K21" s="405"/>
      <c r="L21" s="405"/>
      <c r="M21" s="405"/>
      <c r="N21" s="407"/>
    </row>
    <row r="22" spans="1:14" ht="13.5" customHeight="1" x14ac:dyDescent="0.25">
      <c r="A22" s="142"/>
      <c r="B22" s="143"/>
      <c r="C22" s="447"/>
      <c r="D22" s="440"/>
      <c r="E22" s="440"/>
      <c r="F22" s="440"/>
      <c r="G22" s="469"/>
      <c r="H22" s="406"/>
      <c r="I22" s="406"/>
      <c r="J22" s="405"/>
      <c r="K22" s="405"/>
      <c r="L22" s="405"/>
      <c r="M22" s="405"/>
      <c r="N22" s="407"/>
    </row>
    <row r="23" spans="1:14" ht="13.5" customHeight="1" x14ac:dyDescent="0.25">
      <c r="A23" s="142"/>
      <c r="B23" s="143"/>
      <c r="C23" s="447"/>
      <c r="D23" s="440"/>
      <c r="E23" s="440"/>
      <c r="F23" s="440"/>
      <c r="G23" s="469"/>
      <c r="H23" s="406"/>
      <c r="I23" s="406"/>
      <c r="J23" s="405"/>
      <c r="K23" s="405"/>
      <c r="L23" s="405"/>
      <c r="M23" s="405"/>
      <c r="N23" s="407"/>
    </row>
    <row r="24" spans="1:14" ht="13.5" customHeight="1" x14ac:dyDescent="0.25">
      <c r="A24" s="142"/>
      <c r="B24" s="143"/>
      <c r="C24" s="447"/>
      <c r="D24" s="440"/>
      <c r="E24" s="440"/>
      <c r="F24" s="440"/>
      <c r="G24" s="469"/>
      <c r="H24" s="406"/>
      <c r="I24" s="406"/>
      <c r="J24" s="405"/>
      <c r="K24" s="405"/>
      <c r="L24" s="405"/>
      <c r="M24" s="405"/>
      <c r="N24" s="407"/>
    </row>
    <row r="25" spans="1:14" ht="13.5" customHeight="1" x14ac:dyDescent="0.25">
      <c r="A25" s="142"/>
      <c r="B25" s="143"/>
      <c r="C25" s="447"/>
      <c r="D25" s="440"/>
      <c r="E25" s="440"/>
      <c r="F25" s="440"/>
      <c r="G25" s="469"/>
      <c r="H25" s="406"/>
      <c r="I25" s="406"/>
      <c r="J25" s="405"/>
      <c r="K25" s="405"/>
      <c r="L25" s="405"/>
      <c r="M25" s="405"/>
      <c r="N25" s="407"/>
    </row>
    <row r="26" spans="1:14" ht="13.5" customHeight="1" x14ac:dyDescent="0.25">
      <c r="A26" s="142"/>
      <c r="B26" s="143"/>
      <c r="C26" s="447"/>
      <c r="D26" s="440"/>
      <c r="E26" s="440"/>
      <c r="F26" s="440"/>
      <c r="G26" s="469"/>
      <c r="H26" s="406"/>
      <c r="I26" s="406"/>
      <c r="J26" s="405"/>
      <c r="K26" s="405"/>
      <c r="L26" s="405"/>
      <c r="M26" s="405"/>
      <c r="N26" s="407"/>
    </row>
    <row r="27" spans="1:14" ht="13.5" customHeight="1" x14ac:dyDescent="0.25">
      <c r="A27" s="142"/>
      <c r="B27" s="143"/>
      <c r="C27" s="447"/>
      <c r="D27" s="440"/>
      <c r="E27" s="440"/>
      <c r="F27" s="440"/>
      <c r="G27" s="469"/>
      <c r="H27" s="406"/>
      <c r="I27" s="406"/>
      <c r="J27" s="405"/>
      <c r="K27" s="405"/>
      <c r="L27" s="405"/>
      <c r="M27" s="405"/>
      <c r="N27" s="407"/>
    </row>
    <row r="28" spans="1:14" ht="13.5" customHeight="1" x14ac:dyDescent="0.25">
      <c r="A28" s="142"/>
      <c r="B28" s="143"/>
      <c r="C28" s="447"/>
      <c r="D28" s="440"/>
      <c r="E28" s="440"/>
      <c r="F28" s="440"/>
      <c r="G28" s="469"/>
      <c r="H28" s="406"/>
      <c r="I28" s="406"/>
      <c r="J28" s="405"/>
      <c r="K28" s="405"/>
      <c r="L28" s="405"/>
      <c r="M28" s="405"/>
      <c r="N28" s="407"/>
    </row>
    <row r="29" spans="1:14" ht="13.5" customHeight="1" x14ac:dyDescent="0.25">
      <c r="A29" s="142"/>
      <c r="B29" s="143"/>
      <c r="C29" s="447"/>
      <c r="D29" s="440"/>
      <c r="E29" s="440"/>
      <c r="F29" s="440"/>
      <c r="G29" s="469"/>
      <c r="H29" s="406"/>
      <c r="I29" s="406"/>
      <c r="J29" s="405"/>
      <c r="K29" s="405"/>
      <c r="L29" s="405"/>
      <c r="M29" s="405"/>
      <c r="N29" s="407"/>
    </row>
    <row r="30" spans="1:14" ht="13.5" customHeight="1" x14ac:dyDescent="0.25">
      <c r="A30" s="142"/>
      <c r="B30" s="143"/>
      <c r="C30" s="447"/>
      <c r="D30" s="440"/>
      <c r="E30" s="440"/>
      <c r="F30" s="440"/>
      <c r="G30" s="469"/>
      <c r="H30" s="406"/>
      <c r="I30" s="406"/>
      <c r="J30" s="405"/>
      <c r="K30" s="405"/>
      <c r="L30" s="405"/>
      <c r="M30" s="405"/>
      <c r="N30" s="407"/>
    </row>
    <row r="31" spans="1:14" ht="13.5" customHeight="1" x14ac:dyDescent="0.25">
      <c r="A31" s="142"/>
      <c r="B31" s="143"/>
      <c r="C31" s="447"/>
      <c r="D31" s="440"/>
      <c r="E31" s="440"/>
      <c r="F31" s="440"/>
      <c r="G31" s="469"/>
      <c r="H31" s="406"/>
      <c r="I31" s="406"/>
      <c r="J31" s="405"/>
      <c r="K31" s="405"/>
      <c r="L31" s="405"/>
      <c r="M31" s="405"/>
      <c r="N31" s="407"/>
    </row>
    <row r="32" spans="1:14" ht="13.5" customHeight="1" x14ac:dyDescent="0.25">
      <c r="A32" s="142"/>
      <c r="B32" s="143"/>
      <c r="C32" s="447"/>
      <c r="D32" s="440"/>
      <c r="E32" s="440"/>
      <c r="F32" s="440"/>
      <c r="G32" s="469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47"/>
      <c r="D33" s="440"/>
      <c r="E33" s="440"/>
      <c r="F33" s="440"/>
      <c r="G33" s="469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47"/>
      <c r="D34" s="440"/>
      <c r="E34" s="440"/>
      <c r="F34" s="440"/>
      <c r="G34" s="469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47"/>
      <c r="D35" s="440"/>
      <c r="E35" s="440"/>
      <c r="F35" s="440"/>
      <c r="G35" s="469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542" t="s">
        <v>275</v>
      </c>
      <c r="B36" s="543"/>
      <c r="C36" s="543"/>
      <c r="D36" s="543"/>
      <c r="E36" s="543"/>
      <c r="F36" s="543"/>
      <c r="G36" s="543"/>
      <c r="H36" s="543"/>
      <c r="I36" s="543"/>
      <c r="J36" s="543"/>
      <c r="K36" s="543"/>
      <c r="L36" s="543"/>
      <c r="M36" s="543"/>
      <c r="N36" s="544"/>
    </row>
    <row r="37" spans="1:14" ht="13.5" customHeight="1" thickBot="1" x14ac:dyDescent="0.3">
      <c r="A37" s="545"/>
      <c r="B37" s="546"/>
      <c r="C37" s="546"/>
      <c r="D37" s="546"/>
      <c r="E37" s="546"/>
      <c r="F37" s="546"/>
      <c r="G37" s="546"/>
      <c r="H37" s="546"/>
      <c r="I37" s="546"/>
      <c r="J37" s="546"/>
      <c r="K37" s="546"/>
      <c r="L37" s="546"/>
      <c r="M37" s="546"/>
      <c r="N37" s="547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35">
    <mergeCell ref="M32:N32"/>
    <mergeCell ref="C35:G35"/>
    <mergeCell ref="M33:N33"/>
    <mergeCell ref="C33:G33"/>
    <mergeCell ref="H33:I33"/>
    <mergeCell ref="J33:L33"/>
    <mergeCell ref="C34:G34"/>
    <mergeCell ref="H34:I34"/>
    <mergeCell ref="J34:L34"/>
    <mergeCell ref="M34:N34"/>
    <mergeCell ref="H35:I35"/>
    <mergeCell ref="K39:L39"/>
    <mergeCell ref="M39:N39"/>
    <mergeCell ref="M35:N35"/>
    <mergeCell ref="J35:L35"/>
    <mergeCell ref="A36:N37"/>
    <mergeCell ref="H30:I30"/>
    <mergeCell ref="J30:L30"/>
    <mergeCell ref="M29:N29"/>
    <mergeCell ref="C31:G31"/>
    <mergeCell ref="H29:I29"/>
    <mergeCell ref="H31:I31"/>
    <mergeCell ref="J31:L31"/>
    <mergeCell ref="M31:N31"/>
    <mergeCell ref="C32:G32"/>
    <mergeCell ref="H32:I32"/>
    <mergeCell ref="J32:L32"/>
    <mergeCell ref="M27:N27"/>
    <mergeCell ref="J29:L29"/>
    <mergeCell ref="C29:G29"/>
    <mergeCell ref="C30:G30"/>
    <mergeCell ref="M30:N30"/>
    <mergeCell ref="C27:G27"/>
    <mergeCell ref="H27:I27"/>
    <mergeCell ref="M23:N23"/>
    <mergeCell ref="M24:N24"/>
    <mergeCell ref="J26:L26"/>
    <mergeCell ref="M26:N26"/>
    <mergeCell ref="H23:I23"/>
    <mergeCell ref="J27:L27"/>
    <mergeCell ref="M25:N25"/>
    <mergeCell ref="J28:L28"/>
    <mergeCell ref="J24:L24"/>
    <mergeCell ref="J23:L23"/>
    <mergeCell ref="H28:I28"/>
    <mergeCell ref="C25:G25"/>
    <mergeCell ref="J25:L25"/>
    <mergeCell ref="C23:G23"/>
    <mergeCell ref="H25:I25"/>
    <mergeCell ref="M28:N28"/>
    <mergeCell ref="C28:G28"/>
    <mergeCell ref="C19:G19"/>
    <mergeCell ref="H19:I19"/>
    <mergeCell ref="C26:G26"/>
    <mergeCell ref="H26:I26"/>
    <mergeCell ref="C22:G22"/>
    <mergeCell ref="H22:I22"/>
    <mergeCell ref="C24:G24"/>
    <mergeCell ref="H24:I24"/>
    <mergeCell ref="J19:L19"/>
    <mergeCell ref="M22:N22"/>
    <mergeCell ref="J22:L22"/>
    <mergeCell ref="C21:G21"/>
    <mergeCell ref="M19:N19"/>
    <mergeCell ref="C20:G20"/>
    <mergeCell ref="H20:I20"/>
    <mergeCell ref="H21:I21"/>
    <mergeCell ref="J21:L21"/>
    <mergeCell ref="M21:N21"/>
    <mergeCell ref="J20:L20"/>
    <mergeCell ref="M20:N20"/>
    <mergeCell ref="C17:G17"/>
    <mergeCell ref="C18:G18"/>
    <mergeCell ref="H18:I18"/>
    <mergeCell ref="J18:L18"/>
    <mergeCell ref="M17:N17"/>
    <mergeCell ref="M18:N18"/>
    <mergeCell ref="H17:I17"/>
    <mergeCell ref="J17:L17"/>
    <mergeCell ref="C15:G15"/>
    <mergeCell ref="H15:I15"/>
    <mergeCell ref="J15:L15"/>
    <mergeCell ref="M15:N15"/>
    <mergeCell ref="C16:G16"/>
    <mergeCell ref="H16:I16"/>
    <mergeCell ref="J16:L16"/>
    <mergeCell ref="M16:N16"/>
    <mergeCell ref="C13:G13"/>
    <mergeCell ref="H13:I13"/>
    <mergeCell ref="J13:L13"/>
    <mergeCell ref="M13:N13"/>
    <mergeCell ref="C14:G14"/>
    <mergeCell ref="H14:I14"/>
    <mergeCell ref="J14:L14"/>
    <mergeCell ref="M14:N14"/>
    <mergeCell ref="G5:H5"/>
    <mergeCell ref="M12:N12"/>
    <mergeCell ref="M9:N9"/>
    <mergeCell ref="C10:G10"/>
    <mergeCell ref="H10:I10"/>
    <mergeCell ref="J10:L10"/>
    <mergeCell ref="C12:G12"/>
    <mergeCell ref="H12:I12"/>
    <mergeCell ref="J12:L12"/>
    <mergeCell ref="C11:G11"/>
    <mergeCell ref="G6:H6"/>
    <mergeCell ref="M11:N11"/>
    <mergeCell ref="M10:N10"/>
    <mergeCell ref="J11:L11"/>
    <mergeCell ref="C9:G9"/>
    <mergeCell ref="H9:I9"/>
    <mergeCell ref="J9:L9"/>
    <mergeCell ref="H11:I11"/>
    <mergeCell ref="M2:N2"/>
    <mergeCell ref="G3:H3"/>
    <mergeCell ref="A8:N8"/>
    <mergeCell ref="A7:B7"/>
    <mergeCell ref="C7:N7"/>
    <mergeCell ref="I6:N6"/>
    <mergeCell ref="K5:L5"/>
    <mergeCell ref="M5:N5"/>
    <mergeCell ref="I5:J5"/>
    <mergeCell ref="I3:J3"/>
    <mergeCell ref="G4:H4"/>
    <mergeCell ref="I4:J4"/>
    <mergeCell ref="K4:L4"/>
    <mergeCell ref="M3:N3"/>
    <mergeCell ref="M4:N4"/>
    <mergeCell ref="K3:L3"/>
    <mergeCell ref="G1:H1"/>
    <mergeCell ref="I1:J1"/>
    <mergeCell ref="K1:L1"/>
    <mergeCell ref="I2:J2"/>
    <mergeCell ref="K2:L2"/>
    <mergeCell ref="G2:H2"/>
  </mergeCells>
  <phoneticPr fontId="0" type="noConversion"/>
  <dataValidations count="1">
    <dataValidation type="list" errorStyle="warning" allowBlank="1" showInputMessage="1" showErrorMessage="1" errorTitle="Unlisted" error="You have entered an unlisted item.  Please make sure the item entered is correct." sqref="H11:I35" xr:uid="{7C090ECA-A6C6-40E5-8AB9-92C7748530FA}">
      <formula1>Coatings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85B6-A1CE-4085-84DE-18BA133ABAFB}">
  <sheetPr codeName="Sheet86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331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22" t="s">
        <v>239</v>
      </c>
      <c r="C9" s="424"/>
      <c r="D9" s="422" t="s">
        <v>240</v>
      </c>
      <c r="E9" s="423"/>
      <c r="F9" s="423"/>
      <c r="G9" s="423"/>
      <c r="H9" s="423"/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413"/>
      <c r="C10" s="413"/>
      <c r="D10" s="413"/>
      <c r="E10" s="413"/>
      <c r="F10" s="413"/>
      <c r="G10" s="413"/>
      <c r="H10" s="413"/>
      <c r="I10" s="413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405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07"/>
    </row>
    <row r="12" spans="1:16" ht="13.5" customHeight="1" x14ac:dyDescent="0.25">
      <c r="A12" s="142"/>
      <c r="B12" s="405"/>
      <c r="C12" s="405"/>
      <c r="D12" s="405"/>
      <c r="E12" s="405"/>
      <c r="F12" s="405"/>
      <c r="G12" s="405"/>
      <c r="H12" s="405"/>
      <c r="I12" s="405"/>
      <c r="J12" s="405"/>
      <c r="K12" s="405"/>
      <c r="L12" s="405"/>
      <c r="M12" s="405"/>
      <c r="N12" s="407"/>
    </row>
    <row r="13" spans="1:16" ht="13.5" customHeight="1" x14ac:dyDescent="0.25">
      <c r="A13" s="142"/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7"/>
    </row>
    <row r="14" spans="1:16" ht="13.5" customHeight="1" x14ac:dyDescent="0.25">
      <c r="A14" s="142"/>
      <c r="B14" s="405"/>
      <c r="C14" s="405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7"/>
    </row>
    <row r="15" spans="1:16" ht="13.5" customHeight="1" x14ac:dyDescent="0.25">
      <c r="A15" s="142"/>
      <c r="B15" s="405"/>
      <c r="C15" s="405"/>
      <c r="D15" s="405"/>
      <c r="E15" s="405"/>
      <c r="F15" s="405"/>
      <c r="G15" s="405"/>
      <c r="H15" s="405"/>
      <c r="I15" s="405"/>
      <c r="J15" s="405"/>
      <c r="K15" s="405"/>
      <c r="L15" s="405"/>
      <c r="M15" s="405"/>
      <c r="N15" s="407"/>
    </row>
    <row r="16" spans="1:16" ht="13.5" customHeight="1" x14ac:dyDescent="0.25">
      <c r="A16" s="142"/>
      <c r="B16" s="405"/>
      <c r="C16" s="405"/>
      <c r="D16" s="405"/>
      <c r="E16" s="405"/>
      <c r="F16" s="405"/>
      <c r="G16" s="405"/>
      <c r="H16" s="405"/>
      <c r="I16" s="405"/>
      <c r="J16" s="405"/>
      <c r="K16" s="405"/>
      <c r="L16" s="405"/>
      <c r="M16" s="405"/>
      <c r="N16" s="407"/>
    </row>
    <row r="17" spans="1:14" ht="13.5" customHeight="1" x14ac:dyDescent="0.25">
      <c r="A17" s="142"/>
      <c r="B17" s="405"/>
      <c r="C17" s="405"/>
      <c r="D17" s="405"/>
      <c r="E17" s="405"/>
      <c r="F17" s="405"/>
      <c r="G17" s="405"/>
      <c r="H17" s="405"/>
      <c r="I17" s="405"/>
      <c r="J17" s="405"/>
      <c r="K17" s="405"/>
      <c r="L17" s="405"/>
      <c r="M17" s="405"/>
      <c r="N17" s="407"/>
    </row>
    <row r="18" spans="1:14" ht="13.5" customHeight="1" x14ac:dyDescent="0.25">
      <c r="A18" s="142"/>
      <c r="B18" s="405"/>
      <c r="C18" s="405"/>
      <c r="D18" s="405"/>
      <c r="E18" s="405"/>
      <c r="F18" s="405"/>
      <c r="G18" s="405"/>
      <c r="H18" s="405"/>
      <c r="I18" s="405"/>
      <c r="J18" s="405"/>
      <c r="K18" s="405"/>
      <c r="L18" s="405"/>
      <c r="M18" s="405"/>
      <c r="N18" s="407"/>
    </row>
    <row r="19" spans="1:14" ht="13.5" customHeight="1" x14ac:dyDescent="0.25">
      <c r="A19" s="142"/>
      <c r="B19" s="405"/>
      <c r="C19" s="405"/>
      <c r="D19" s="405"/>
      <c r="E19" s="405"/>
      <c r="F19" s="405"/>
      <c r="G19" s="405"/>
      <c r="H19" s="405"/>
      <c r="I19" s="405"/>
      <c r="J19" s="405"/>
      <c r="K19" s="405"/>
      <c r="L19" s="405"/>
      <c r="M19" s="405"/>
      <c r="N19" s="407"/>
    </row>
    <row r="20" spans="1:14" ht="13.5" customHeight="1" x14ac:dyDescent="0.25">
      <c r="A20" s="142"/>
      <c r="B20" s="405"/>
      <c r="C20" s="405"/>
      <c r="D20" s="405"/>
      <c r="E20" s="405"/>
      <c r="F20" s="405"/>
      <c r="G20" s="405"/>
      <c r="H20" s="405"/>
      <c r="I20" s="405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405"/>
      <c r="C21" s="405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7"/>
    </row>
    <row r="22" spans="1:14" ht="13.5" customHeight="1" x14ac:dyDescent="0.25">
      <c r="A22" s="142"/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7"/>
    </row>
    <row r="23" spans="1:14" ht="13.5" customHeight="1" x14ac:dyDescent="0.25">
      <c r="A23" s="142"/>
      <c r="B23" s="405"/>
      <c r="C23" s="405"/>
      <c r="D23" s="405"/>
      <c r="E23" s="405"/>
      <c r="F23" s="405"/>
      <c r="G23" s="405"/>
      <c r="H23" s="405"/>
      <c r="I23" s="405"/>
      <c r="J23" s="405"/>
      <c r="K23" s="405"/>
      <c r="L23" s="405"/>
      <c r="M23" s="405"/>
      <c r="N23" s="407"/>
    </row>
    <row r="24" spans="1:14" ht="13.5" customHeight="1" x14ac:dyDescent="0.25">
      <c r="A24" s="142"/>
      <c r="B24" s="405"/>
      <c r="C24" s="405"/>
      <c r="D24" s="405"/>
      <c r="E24" s="405"/>
      <c r="F24" s="405"/>
      <c r="G24" s="405"/>
      <c r="H24" s="405"/>
      <c r="I24" s="405"/>
      <c r="J24" s="405"/>
      <c r="K24" s="405"/>
      <c r="L24" s="405"/>
      <c r="M24" s="405"/>
      <c r="N24" s="407"/>
    </row>
    <row r="25" spans="1:14" ht="13.5" customHeight="1" x14ac:dyDescent="0.25">
      <c r="A25" s="142"/>
      <c r="B25" s="405"/>
      <c r="C25" s="405"/>
      <c r="D25" s="405"/>
      <c r="E25" s="405"/>
      <c r="F25" s="405"/>
      <c r="G25" s="405"/>
      <c r="H25" s="405"/>
      <c r="I25" s="405"/>
      <c r="J25" s="405"/>
      <c r="K25" s="405"/>
      <c r="L25" s="405"/>
      <c r="M25" s="405"/>
      <c r="N25" s="407"/>
    </row>
    <row r="26" spans="1:14" ht="13.5" customHeight="1" x14ac:dyDescent="0.25">
      <c r="A26" s="142"/>
      <c r="B26" s="405"/>
      <c r="C26" s="405"/>
      <c r="D26" s="405"/>
      <c r="E26" s="405"/>
      <c r="F26" s="405"/>
      <c r="G26" s="405"/>
      <c r="H26" s="405"/>
      <c r="I26" s="405"/>
      <c r="J26" s="405"/>
      <c r="K26" s="405"/>
      <c r="L26" s="405"/>
      <c r="M26" s="405"/>
      <c r="N26" s="407"/>
    </row>
    <row r="27" spans="1:14" ht="13.5" customHeight="1" x14ac:dyDescent="0.25">
      <c r="A27" s="142"/>
      <c r="B27" s="405"/>
      <c r="C27" s="405"/>
      <c r="D27" s="405"/>
      <c r="E27" s="405"/>
      <c r="F27" s="405"/>
      <c r="G27" s="405"/>
      <c r="H27" s="405"/>
      <c r="I27" s="405"/>
      <c r="J27" s="405"/>
      <c r="K27" s="405"/>
      <c r="L27" s="405"/>
      <c r="M27" s="405"/>
      <c r="N27" s="407"/>
    </row>
    <row r="28" spans="1:14" ht="13.5" customHeight="1" x14ac:dyDescent="0.25">
      <c r="A28" s="142"/>
      <c r="B28" s="405"/>
      <c r="C28" s="405"/>
      <c r="D28" s="405"/>
      <c r="E28" s="405"/>
      <c r="F28" s="405"/>
      <c r="G28" s="405"/>
      <c r="H28" s="405"/>
      <c r="I28" s="405"/>
      <c r="J28" s="405"/>
      <c r="K28" s="405"/>
      <c r="L28" s="405"/>
      <c r="M28" s="405"/>
      <c r="N28" s="407"/>
    </row>
    <row r="29" spans="1:14" ht="13.5" customHeight="1" x14ac:dyDescent="0.25">
      <c r="A29" s="142"/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7"/>
    </row>
    <row r="30" spans="1:14" ht="13.5" customHeight="1" x14ac:dyDescent="0.25">
      <c r="A30" s="142"/>
      <c r="B30" s="405"/>
      <c r="C30" s="405"/>
      <c r="D30" s="405"/>
      <c r="E30" s="405"/>
      <c r="F30" s="405"/>
      <c r="G30" s="405"/>
      <c r="H30" s="405"/>
      <c r="I30" s="405"/>
      <c r="J30" s="405"/>
      <c r="K30" s="405"/>
      <c r="L30" s="405"/>
      <c r="M30" s="405"/>
      <c r="N30" s="407"/>
    </row>
    <row r="31" spans="1:14" ht="13.5" customHeight="1" x14ac:dyDescent="0.25">
      <c r="A31" s="142"/>
      <c r="B31" s="405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7"/>
    </row>
    <row r="32" spans="1:14" ht="13.5" customHeight="1" x14ac:dyDescent="0.25">
      <c r="A32" s="142"/>
      <c r="B32" s="405"/>
      <c r="C32" s="405"/>
      <c r="D32" s="405"/>
      <c r="E32" s="405"/>
      <c r="F32" s="405"/>
      <c r="G32" s="405"/>
      <c r="H32" s="405"/>
      <c r="I32" s="405"/>
      <c r="J32" s="405"/>
      <c r="K32" s="405"/>
      <c r="L32" s="405"/>
      <c r="M32" s="405"/>
      <c r="N32" s="407"/>
    </row>
    <row r="33" spans="1:14" ht="13.5" customHeight="1" x14ac:dyDescent="0.25">
      <c r="A33" s="142"/>
      <c r="B33" s="405"/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7"/>
    </row>
    <row r="34" spans="1:14" ht="13.5" customHeight="1" x14ac:dyDescent="0.25">
      <c r="A34" s="142"/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7"/>
    </row>
    <row r="35" spans="1:14" ht="13.5" customHeight="1" x14ac:dyDescent="0.25">
      <c r="A35" s="142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7"/>
    </row>
    <row r="36" spans="1:14" ht="13.5" customHeight="1" x14ac:dyDescent="0.25">
      <c r="A36" s="542" t="s">
        <v>276</v>
      </c>
      <c r="B36" s="543"/>
      <c r="C36" s="543"/>
      <c r="D36" s="543"/>
      <c r="E36" s="543"/>
      <c r="F36" s="543"/>
      <c r="G36" s="543"/>
      <c r="H36" s="543"/>
      <c r="I36" s="543"/>
      <c r="J36" s="543"/>
      <c r="K36" s="543"/>
      <c r="L36" s="543"/>
      <c r="M36" s="543"/>
      <c r="N36" s="544"/>
    </row>
    <row r="37" spans="1:14" ht="13.5" customHeight="1" thickBot="1" x14ac:dyDescent="0.3">
      <c r="A37" s="545"/>
      <c r="B37" s="546"/>
      <c r="C37" s="546"/>
      <c r="D37" s="546"/>
      <c r="E37" s="546"/>
      <c r="F37" s="546"/>
      <c r="G37" s="546"/>
      <c r="H37" s="546"/>
      <c r="I37" s="546"/>
      <c r="J37" s="546"/>
      <c r="K37" s="546"/>
      <c r="L37" s="546"/>
      <c r="M37" s="546"/>
      <c r="N37" s="547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35">
    <mergeCell ref="M32:N32"/>
    <mergeCell ref="B35:C35"/>
    <mergeCell ref="M33:N33"/>
    <mergeCell ref="B33:C33"/>
    <mergeCell ref="D33:I33"/>
    <mergeCell ref="J33:L33"/>
    <mergeCell ref="B34:C34"/>
    <mergeCell ref="D34:I34"/>
    <mergeCell ref="J34:L34"/>
    <mergeCell ref="M34:N34"/>
    <mergeCell ref="D35:I35"/>
    <mergeCell ref="K39:L39"/>
    <mergeCell ref="M39:N39"/>
    <mergeCell ref="M35:N35"/>
    <mergeCell ref="J35:L35"/>
    <mergeCell ref="A36:N37"/>
    <mergeCell ref="D30:I30"/>
    <mergeCell ref="J30:L30"/>
    <mergeCell ref="M29:N29"/>
    <mergeCell ref="B31:C31"/>
    <mergeCell ref="D29:I29"/>
    <mergeCell ref="D31:I31"/>
    <mergeCell ref="J31:L31"/>
    <mergeCell ref="M31:N31"/>
    <mergeCell ref="B32:C32"/>
    <mergeCell ref="D32:I32"/>
    <mergeCell ref="J32:L32"/>
    <mergeCell ref="M27:N27"/>
    <mergeCell ref="J29:L29"/>
    <mergeCell ref="B29:C29"/>
    <mergeCell ref="B30:C30"/>
    <mergeCell ref="M30:N30"/>
    <mergeCell ref="B27:C27"/>
    <mergeCell ref="D27:I27"/>
    <mergeCell ref="M24:N24"/>
    <mergeCell ref="J25:L25"/>
    <mergeCell ref="M25:N25"/>
    <mergeCell ref="M28:N28"/>
    <mergeCell ref="J26:L26"/>
    <mergeCell ref="M26:N26"/>
    <mergeCell ref="J27:L27"/>
    <mergeCell ref="J28:L28"/>
    <mergeCell ref="J24:L24"/>
    <mergeCell ref="B28:C28"/>
    <mergeCell ref="D28:I28"/>
    <mergeCell ref="B26:C26"/>
    <mergeCell ref="D26:I26"/>
    <mergeCell ref="B21:C21"/>
    <mergeCell ref="D25:I25"/>
    <mergeCell ref="B22:C22"/>
    <mergeCell ref="D22:I22"/>
    <mergeCell ref="B24:C24"/>
    <mergeCell ref="D24:I24"/>
    <mergeCell ref="B25:C25"/>
    <mergeCell ref="D21:I21"/>
    <mergeCell ref="M22:N22"/>
    <mergeCell ref="B23:C23"/>
    <mergeCell ref="D23:I23"/>
    <mergeCell ref="J23:L23"/>
    <mergeCell ref="M23:N23"/>
    <mergeCell ref="J22:L22"/>
    <mergeCell ref="J21:L21"/>
    <mergeCell ref="M21:N21"/>
    <mergeCell ref="B20:C20"/>
    <mergeCell ref="D20:I20"/>
    <mergeCell ref="J20:L20"/>
    <mergeCell ref="D18:I18"/>
    <mergeCell ref="B19:C19"/>
    <mergeCell ref="D19:I19"/>
    <mergeCell ref="J19:L19"/>
    <mergeCell ref="B17:C17"/>
    <mergeCell ref="B18:C18"/>
    <mergeCell ref="J18:L18"/>
    <mergeCell ref="M17:N17"/>
    <mergeCell ref="D17:I17"/>
    <mergeCell ref="J17:L17"/>
    <mergeCell ref="M19:N19"/>
    <mergeCell ref="M18:N18"/>
    <mergeCell ref="M20:N20"/>
    <mergeCell ref="B15:C15"/>
    <mergeCell ref="D15:I15"/>
    <mergeCell ref="J15:L15"/>
    <mergeCell ref="M15:N15"/>
    <mergeCell ref="B16:C16"/>
    <mergeCell ref="D16:I16"/>
    <mergeCell ref="J16:L16"/>
    <mergeCell ref="M16:N16"/>
    <mergeCell ref="M13:N13"/>
    <mergeCell ref="B14:C14"/>
    <mergeCell ref="D14:I14"/>
    <mergeCell ref="J14:L14"/>
    <mergeCell ref="M14:N14"/>
    <mergeCell ref="B13:C13"/>
    <mergeCell ref="D13:I13"/>
    <mergeCell ref="J13:L13"/>
    <mergeCell ref="M11:N11"/>
    <mergeCell ref="B12:C12"/>
    <mergeCell ref="D12:I12"/>
    <mergeCell ref="J12:L12"/>
    <mergeCell ref="M12:N12"/>
    <mergeCell ref="B11:C11"/>
    <mergeCell ref="D11:I11"/>
    <mergeCell ref="J11:L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B9:C9"/>
    <mergeCell ref="D9:I9"/>
    <mergeCell ref="J9:L9"/>
    <mergeCell ref="B10:C10"/>
    <mergeCell ref="D10:I10"/>
    <mergeCell ref="J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pageMargins left="0.25" right="0.25" top="0.25" bottom="0.25" header="0.5" footer="0.5"/>
  <pageSetup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3765-CBA5-4FF1-BC7A-1D2950D12A84}">
  <sheetPr codeName="Sheet87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1408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3"/>
      <c r="F9" s="423"/>
      <c r="G9" s="424"/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413"/>
      <c r="G10" s="413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143"/>
      <c r="C11" s="447"/>
      <c r="D11" s="440"/>
      <c r="E11" s="440"/>
      <c r="F11" s="440"/>
      <c r="G11" s="469"/>
      <c r="H11" s="406"/>
      <c r="I11" s="406"/>
      <c r="J11" s="405"/>
      <c r="K11" s="405"/>
      <c r="L11" s="405"/>
      <c r="M11" s="405"/>
      <c r="N11" s="407"/>
    </row>
    <row r="12" spans="1:16" ht="13.5" customHeight="1" x14ac:dyDescent="0.25">
      <c r="A12" s="142"/>
      <c r="B12" s="143"/>
      <c r="C12" s="447"/>
      <c r="D12" s="440"/>
      <c r="E12" s="440"/>
      <c r="F12" s="440"/>
      <c r="G12" s="469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143"/>
      <c r="C13" s="447"/>
      <c r="D13" s="440"/>
      <c r="E13" s="440"/>
      <c r="F13" s="440"/>
      <c r="G13" s="469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47"/>
      <c r="D14" s="440"/>
      <c r="E14" s="440"/>
      <c r="F14" s="440"/>
      <c r="G14" s="469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47"/>
      <c r="D15" s="440"/>
      <c r="E15" s="440"/>
      <c r="F15" s="440"/>
      <c r="G15" s="469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47"/>
      <c r="D16" s="440"/>
      <c r="E16" s="440"/>
      <c r="F16" s="440"/>
      <c r="G16" s="469"/>
      <c r="H16" s="406"/>
      <c r="I16" s="406"/>
      <c r="J16" s="405"/>
      <c r="K16" s="405"/>
      <c r="L16" s="405"/>
      <c r="M16" s="405"/>
      <c r="N16" s="407"/>
    </row>
    <row r="17" spans="1:14" ht="13.5" customHeight="1" x14ac:dyDescent="0.25">
      <c r="A17" s="142"/>
      <c r="B17" s="143"/>
      <c r="C17" s="447"/>
      <c r="D17" s="440"/>
      <c r="E17" s="440"/>
      <c r="F17" s="440"/>
      <c r="G17" s="469"/>
      <c r="H17" s="406"/>
      <c r="I17" s="406"/>
      <c r="J17" s="405"/>
      <c r="K17" s="405"/>
      <c r="L17" s="405"/>
      <c r="M17" s="405"/>
      <c r="N17" s="407"/>
    </row>
    <row r="18" spans="1:14" ht="13.5" customHeight="1" x14ac:dyDescent="0.25">
      <c r="A18" s="142"/>
      <c r="B18" s="143"/>
      <c r="C18" s="447"/>
      <c r="D18" s="440"/>
      <c r="E18" s="440"/>
      <c r="F18" s="440"/>
      <c r="G18" s="469"/>
      <c r="H18" s="406"/>
      <c r="I18" s="406"/>
      <c r="J18" s="405"/>
      <c r="K18" s="405"/>
      <c r="L18" s="405"/>
      <c r="M18" s="405"/>
      <c r="N18" s="407"/>
    </row>
    <row r="19" spans="1:14" ht="13.5" customHeight="1" x14ac:dyDescent="0.25">
      <c r="A19" s="142"/>
      <c r="B19" s="143"/>
      <c r="C19" s="447"/>
      <c r="D19" s="440"/>
      <c r="E19" s="440"/>
      <c r="F19" s="440"/>
      <c r="G19" s="469"/>
      <c r="H19" s="406"/>
      <c r="I19" s="406"/>
      <c r="J19" s="405"/>
      <c r="K19" s="405"/>
      <c r="L19" s="405"/>
      <c r="M19" s="405"/>
      <c r="N19" s="407"/>
    </row>
    <row r="20" spans="1:14" ht="13.5" customHeight="1" x14ac:dyDescent="0.25">
      <c r="A20" s="142"/>
      <c r="B20" s="143"/>
      <c r="C20" s="447"/>
      <c r="D20" s="440"/>
      <c r="E20" s="440"/>
      <c r="F20" s="440"/>
      <c r="G20" s="469"/>
      <c r="H20" s="406"/>
      <c r="I20" s="4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143"/>
      <c r="C21" s="447"/>
      <c r="D21" s="440"/>
      <c r="E21" s="440"/>
      <c r="F21" s="440"/>
      <c r="G21" s="469"/>
      <c r="H21" s="406"/>
      <c r="I21" s="406"/>
      <c r="J21" s="405"/>
      <c r="K21" s="405"/>
      <c r="L21" s="405"/>
      <c r="M21" s="405"/>
      <c r="N21" s="407"/>
    </row>
    <row r="22" spans="1:14" ht="13.5" customHeight="1" x14ac:dyDescent="0.25">
      <c r="A22" s="142"/>
      <c r="B22" s="143"/>
      <c r="C22" s="447"/>
      <c r="D22" s="440"/>
      <c r="E22" s="440"/>
      <c r="F22" s="440"/>
      <c r="G22" s="469"/>
      <c r="H22" s="406"/>
      <c r="I22" s="406"/>
      <c r="J22" s="405"/>
      <c r="K22" s="405"/>
      <c r="L22" s="405"/>
      <c r="M22" s="405"/>
      <c r="N22" s="407"/>
    </row>
    <row r="23" spans="1:14" ht="13.5" customHeight="1" x14ac:dyDescent="0.25">
      <c r="A23" s="142"/>
      <c r="B23" s="143"/>
      <c r="C23" s="447"/>
      <c r="D23" s="440"/>
      <c r="E23" s="440"/>
      <c r="F23" s="440"/>
      <c r="G23" s="469"/>
      <c r="H23" s="406"/>
      <c r="I23" s="406"/>
      <c r="J23" s="405"/>
      <c r="K23" s="405"/>
      <c r="L23" s="405"/>
      <c r="M23" s="405"/>
      <c r="N23" s="407"/>
    </row>
    <row r="24" spans="1:14" ht="13.5" customHeight="1" x14ac:dyDescent="0.25">
      <c r="A24" s="142"/>
      <c r="B24" s="143"/>
      <c r="C24" s="447"/>
      <c r="D24" s="440"/>
      <c r="E24" s="440"/>
      <c r="F24" s="440"/>
      <c r="G24" s="469"/>
      <c r="H24" s="406"/>
      <c r="I24" s="406"/>
      <c r="J24" s="405"/>
      <c r="K24" s="405"/>
      <c r="L24" s="405"/>
      <c r="M24" s="405"/>
      <c r="N24" s="407"/>
    </row>
    <row r="25" spans="1:14" ht="13.5" customHeight="1" x14ac:dyDescent="0.25">
      <c r="A25" s="142"/>
      <c r="B25" s="143"/>
      <c r="C25" s="447"/>
      <c r="D25" s="440"/>
      <c r="E25" s="440"/>
      <c r="F25" s="440"/>
      <c r="G25" s="469"/>
      <c r="H25" s="406"/>
      <c r="I25" s="406"/>
      <c r="J25" s="405"/>
      <c r="K25" s="405"/>
      <c r="L25" s="405"/>
      <c r="M25" s="405"/>
      <c r="N25" s="407"/>
    </row>
    <row r="26" spans="1:14" ht="13.5" customHeight="1" x14ac:dyDescent="0.25">
      <c r="A26" s="142"/>
      <c r="B26" s="143"/>
      <c r="C26" s="447"/>
      <c r="D26" s="440"/>
      <c r="E26" s="440"/>
      <c r="F26" s="440"/>
      <c r="G26" s="469"/>
      <c r="H26" s="406"/>
      <c r="I26" s="406"/>
      <c r="J26" s="405"/>
      <c r="K26" s="405"/>
      <c r="L26" s="405"/>
      <c r="M26" s="405"/>
      <c r="N26" s="407"/>
    </row>
    <row r="27" spans="1:14" ht="13.5" customHeight="1" x14ac:dyDescent="0.25">
      <c r="A27" s="142"/>
      <c r="B27" s="143"/>
      <c r="C27" s="447"/>
      <c r="D27" s="440"/>
      <c r="E27" s="440"/>
      <c r="F27" s="440"/>
      <c r="G27" s="469"/>
      <c r="H27" s="406"/>
      <c r="I27" s="406"/>
      <c r="J27" s="405"/>
      <c r="K27" s="405"/>
      <c r="L27" s="405"/>
      <c r="M27" s="405"/>
      <c r="N27" s="407"/>
    </row>
    <row r="28" spans="1:14" ht="13.5" customHeight="1" x14ac:dyDescent="0.25">
      <c r="A28" s="142"/>
      <c r="B28" s="143"/>
      <c r="C28" s="447"/>
      <c r="D28" s="440"/>
      <c r="E28" s="440"/>
      <c r="F28" s="440"/>
      <c r="G28" s="469"/>
      <c r="H28" s="406"/>
      <c r="I28" s="406"/>
      <c r="J28" s="405"/>
      <c r="K28" s="405"/>
      <c r="L28" s="405"/>
      <c r="M28" s="405"/>
      <c r="N28" s="407"/>
    </row>
    <row r="29" spans="1:14" ht="13.5" customHeight="1" x14ac:dyDescent="0.25">
      <c r="A29" s="142"/>
      <c r="B29" s="143"/>
      <c r="C29" s="447"/>
      <c r="D29" s="440"/>
      <c r="E29" s="440"/>
      <c r="F29" s="440"/>
      <c r="G29" s="469"/>
      <c r="H29" s="406"/>
      <c r="I29" s="406"/>
      <c r="J29" s="405"/>
      <c r="K29" s="405"/>
      <c r="L29" s="405"/>
      <c r="M29" s="405"/>
      <c r="N29" s="407"/>
    </row>
    <row r="30" spans="1:14" ht="13.5" customHeight="1" x14ac:dyDescent="0.25">
      <c r="A30" s="142"/>
      <c r="B30" s="143"/>
      <c r="C30" s="447"/>
      <c r="D30" s="440"/>
      <c r="E30" s="440"/>
      <c r="F30" s="440"/>
      <c r="G30" s="469"/>
      <c r="H30" s="406"/>
      <c r="I30" s="406"/>
      <c r="J30" s="405"/>
      <c r="K30" s="405"/>
      <c r="L30" s="405"/>
      <c r="M30" s="405"/>
      <c r="N30" s="407"/>
    </row>
    <row r="31" spans="1:14" ht="13.5" customHeight="1" x14ac:dyDescent="0.25">
      <c r="A31" s="142"/>
      <c r="B31" s="143"/>
      <c r="C31" s="447"/>
      <c r="D31" s="440"/>
      <c r="E31" s="440"/>
      <c r="F31" s="440"/>
      <c r="G31" s="469"/>
      <c r="H31" s="406"/>
      <c r="I31" s="406"/>
      <c r="J31" s="405"/>
      <c r="K31" s="405"/>
      <c r="L31" s="405"/>
      <c r="M31" s="405"/>
      <c r="N31" s="407"/>
    </row>
    <row r="32" spans="1:14" ht="13.5" customHeight="1" x14ac:dyDescent="0.25">
      <c r="A32" s="142"/>
      <c r="B32" s="143"/>
      <c r="C32" s="447"/>
      <c r="D32" s="440"/>
      <c r="E32" s="440"/>
      <c r="F32" s="440"/>
      <c r="G32" s="469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47"/>
      <c r="D33" s="440"/>
      <c r="E33" s="440"/>
      <c r="F33" s="440"/>
      <c r="G33" s="469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47"/>
      <c r="D34" s="440"/>
      <c r="E34" s="440"/>
      <c r="F34" s="440"/>
      <c r="G34" s="469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47"/>
      <c r="D35" s="440"/>
      <c r="E35" s="440"/>
      <c r="F35" s="440"/>
      <c r="G35" s="469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142"/>
      <c r="B36" s="143"/>
      <c r="C36" s="447"/>
      <c r="D36" s="440"/>
      <c r="E36" s="440"/>
      <c r="F36" s="440"/>
      <c r="G36" s="469"/>
      <c r="H36" s="406"/>
      <c r="I36" s="4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145"/>
      <c r="C37" s="466"/>
      <c r="D37" s="453"/>
      <c r="E37" s="453"/>
      <c r="F37" s="453"/>
      <c r="G37" s="470"/>
      <c r="H37" s="409"/>
      <c r="I37" s="4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C37:G37"/>
    <mergeCell ref="H37:I37"/>
    <mergeCell ref="J35:L35"/>
    <mergeCell ref="M35:N35"/>
    <mergeCell ref="C36:G36"/>
    <mergeCell ref="H36:I36"/>
    <mergeCell ref="C35:G35"/>
    <mergeCell ref="H35:I35"/>
    <mergeCell ref="K39:L39"/>
    <mergeCell ref="M39:N39"/>
    <mergeCell ref="J36:L36"/>
    <mergeCell ref="M36:N36"/>
    <mergeCell ref="J37:L37"/>
    <mergeCell ref="M37:N37"/>
    <mergeCell ref="C33:G33"/>
    <mergeCell ref="H33:I33"/>
    <mergeCell ref="J33:L33"/>
    <mergeCell ref="M33:N33"/>
    <mergeCell ref="C34:G34"/>
    <mergeCell ref="H34:I34"/>
    <mergeCell ref="J34:L34"/>
    <mergeCell ref="M34:N34"/>
    <mergeCell ref="J32:L32"/>
    <mergeCell ref="M32:N32"/>
    <mergeCell ref="C30:G30"/>
    <mergeCell ref="H30:I30"/>
    <mergeCell ref="J30:L30"/>
    <mergeCell ref="M30:N30"/>
    <mergeCell ref="C32:G32"/>
    <mergeCell ref="H32:I32"/>
    <mergeCell ref="J31:L31"/>
    <mergeCell ref="M31:N31"/>
    <mergeCell ref="C31:G31"/>
    <mergeCell ref="H31:I31"/>
    <mergeCell ref="J29:L29"/>
    <mergeCell ref="M29:N29"/>
    <mergeCell ref="C29:G29"/>
    <mergeCell ref="H29:I29"/>
    <mergeCell ref="C28:G28"/>
    <mergeCell ref="H28:I28"/>
    <mergeCell ref="J28:L28"/>
    <mergeCell ref="M28:N28"/>
    <mergeCell ref="C26:G26"/>
    <mergeCell ref="H26:I26"/>
    <mergeCell ref="J26:L26"/>
    <mergeCell ref="M26:N26"/>
    <mergeCell ref="C27:G27"/>
    <mergeCell ref="H27:I27"/>
    <mergeCell ref="J27:L27"/>
    <mergeCell ref="M27:N27"/>
    <mergeCell ref="C24:G24"/>
    <mergeCell ref="H24:I24"/>
    <mergeCell ref="J24:L24"/>
    <mergeCell ref="M24:N24"/>
    <mergeCell ref="C25:G25"/>
    <mergeCell ref="H25:I25"/>
    <mergeCell ref="J25:L25"/>
    <mergeCell ref="M25:N25"/>
    <mergeCell ref="C22:G22"/>
    <mergeCell ref="H22:I22"/>
    <mergeCell ref="J22:L22"/>
    <mergeCell ref="M22:N22"/>
    <mergeCell ref="C23:G23"/>
    <mergeCell ref="H23:I23"/>
    <mergeCell ref="J23:L23"/>
    <mergeCell ref="M23:N23"/>
    <mergeCell ref="C20:G20"/>
    <mergeCell ref="H20:I20"/>
    <mergeCell ref="J20:L20"/>
    <mergeCell ref="M20:N20"/>
    <mergeCell ref="C21:G21"/>
    <mergeCell ref="H21:I21"/>
    <mergeCell ref="J21:L21"/>
    <mergeCell ref="M21:N21"/>
    <mergeCell ref="C18:G18"/>
    <mergeCell ref="H18:I18"/>
    <mergeCell ref="J18:L18"/>
    <mergeCell ref="M18:N18"/>
    <mergeCell ref="C19:G19"/>
    <mergeCell ref="H19:I19"/>
    <mergeCell ref="J19:L19"/>
    <mergeCell ref="M19:N19"/>
    <mergeCell ref="C16:G16"/>
    <mergeCell ref="H16:I16"/>
    <mergeCell ref="J16:L16"/>
    <mergeCell ref="M16:N16"/>
    <mergeCell ref="C17:G17"/>
    <mergeCell ref="H17:I17"/>
    <mergeCell ref="J17:L17"/>
    <mergeCell ref="M17:N17"/>
    <mergeCell ref="M15:N15"/>
    <mergeCell ref="C14:G14"/>
    <mergeCell ref="H14:I14"/>
    <mergeCell ref="J14:L14"/>
    <mergeCell ref="M14:N14"/>
    <mergeCell ref="H12:I12"/>
    <mergeCell ref="J12:L12"/>
    <mergeCell ref="C15:G15"/>
    <mergeCell ref="H15:I15"/>
    <mergeCell ref="J15:L15"/>
    <mergeCell ref="M10:N10"/>
    <mergeCell ref="M12:N12"/>
    <mergeCell ref="C13:G13"/>
    <mergeCell ref="H13:I13"/>
    <mergeCell ref="J13:L13"/>
    <mergeCell ref="M13:N13"/>
    <mergeCell ref="C10:G10"/>
    <mergeCell ref="H10:I10"/>
    <mergeCell ref="J10:L10"/>
    <mergeCell ref="C12:G12"/>
    <mergeCell ref="C11:G11"/>
    <mergeCell ref="H11:I11"/>
    <mergeCell ref="J11:L11"/>
    <mergeCell ref="M11:N11"/>
    <mergeCell ref="G3:H3"/>
    <mergeCell ref="I4:J4"/>
    <mergeCell ref="K4:L4"/>
    <mergeCell ref="C9:G9"/>
    <mergeCell ref="H9:I9"/>
    <mergeCell ref="J9:L9"/>
    <mergeCell ref="G5:H5"/>
    <mergeCell ref="I3:J3"/>
    <mergeCell ref="K3:L3"/>
    <mergeCell ref="K5:L5"/>
    <mergeCell ref="M5:N5"/>
    <mergeCell ref="I5:J5"/>
    <mergeCell ref="G4:H4"/>
    <mergeCell ref="M3:N3"/>
    <mergeCell ref="M4:N4"/>
    <mergeCell ref="M9:N9"/>
    <mergeCell ref="G6:H6"/>
    <mergeCell ref="A8:N8"/>
    <mergeCell ref="A7:B7"/>
    <mergeCell ref="C7:N7"/>
    <mergeCell ref="I6:N6"/>
    <mergeCell ref="M2:N2"/>
    <mergeCell ref="G1:H1"/>
    <mergeCell ref="I1:J1"/>
    <mergeCell ref="K1:L1"/>
    <mergeCell ref="I2:J2"/>
    <mergeCell ref="K2:L2"/>
    <mergeCell ref="G2:H2"/>
  </mergeCells>
  <phoneticPr fontId="0" type="noConversion"/>
  <dataValidations count="1">
    <dataValidation type="list" errorStyle="warning" allowBlank="1" showInputMessage="1" showErrorMessage="1" errorTitle="Unlisted" error="You have entered an unlisted item.  Please make sure the item entered is correct." sqref="H11:I37" xr:uid="{9D6F85C0-03C5-4542-BC69-C3CF5B2412A0}">
      <formula1>MasticColor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9975-9287-48A0-A4C0-F02403C60AD7}">
  <sheetPr codeName="Sheet88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330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67" t="s">
        <v>238</v>
      </c>
      <c r="B9" s="194" t="s">
        <v>239</v>
      </c>
      <c r="C9" s="416" t="s">
        <v>240</v>
      </c>
      <c r="D9" s="421"/>
      <c r="E9" s="421"/>
      <c r="F9" s="421"/>
      <c r="G9" s="417"/>
      <c r="H9" s="422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62"/>
      <c r="B10" s="195"/>
      <c r="C10" s="538"/>
      <c r="D10" s="538"/>
      <c r="E10" s="538"/>
      <c r="F10" s="538"/>
      <c r="G10" s="538"/>
      <c r="H10" s="529"/>
      <c r="I10" s="529"/>
      <c r="J10" s="529"/>
      <c r="K10" s="529"/>
      <c r="L10" s="529"/>
      <c r="M10" s="529"/>
      <c r="N10" s="530"/>
    </row>
    <row r="11" spans="1:16" ht="13.5" customHeight="1" x14ac:dyDescent="0.25">
      <c r="A11" s="142" t="str">
        <f>"@Data"</f>
        <v>@Data</v>
      </c>
      <c r="B11" s="143"/>
      <c r="C11" s="405"/>
      <c r="D11" s="405"/>
      <c r="E11" s="405"/>
      <c r="F11" s="405"/>
      <c r="G11" s="405"/>
      <c r="H11" s="405"/>
      <c r="I11" s="405"/>
      <c r="J11" s="405"/>
      <c r="K11" s="405"/>
      <c r="L11" s="405"/>
      <c r="M11" s="405"/>
      <c r="N11" s="407"/>
    </row>
    <row r="12" spans="1:16" ht="13.5" customHeight="1" x14ac:dyDescent="0.25">
      <c r="A12" s="142"/>
      <c r="B12" s="143"/>
      <c r="C12" s="405"/>
      <c r="D12" s="405"/>
      <c r="E12" s="405"/>
      <c r="F12" s="405"/>
      <c r="G12" s="405"/>
      <c r="H12" s="405"/>
      <c r="I12" s="405"/>
      <c r="J12" s="405"/>
      <c r="K12" s="405"/>
      <c r="L12" s="405"/>
      <c r="M12" s="405"/>
      <c r="N12" s="407"/>
    </row>
    <row r="13" spans="1:16" ht="13.5" customHeight="1" x14ac:dyDescent="0.25">
      <c r="A13" s="142"/>
      <c r="B13" s="143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05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05"/>
      <c r="D15" s="405"/>
      <c r="E15" s="405"/>
      <c r="F15" s="405"/>
      <c r="G15" s="405"/>
      <c r="H15" s="405"/>
      <c r="I15" s="405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05"/>
      <c r="D16" s="405"/>
      <c r="E16" s="405"/>
      <c r="F16" s="405"/>
      <c r="G16" s="405"/>
      <c r="H16" s="405"/>
      <c r="I16" s="405"/>
      <c r="J16" s="405"/>
      <c r="K16" s="405"/>
      <c r="L16" s="405"/>
      <c r="M16" s="405"/>
      <c r="N16" s="407"/>
    </row>
    <row r="17" spans="1:14" ht="13.5" customHeight="1" x14ac:dyDescent="0.25">
      <c r="A17" s="142"/>
      <c r="B17" s="143"/>
      <c r="C17" s="405"/>
      <c r="D17" s="405"/>
      <c r="E17" s="405"/>
      <c r="F17" s="405"/>
      <c r="G17" s="405"/>
      <c r="H17" s="405"/>
      <c r="I17" s="405"/>
      <c r="J17" s="405"/>
      <c r="K17" s="405"/>
      <c r="L17" s="405"/>
      <c r="M17" s="405"/>
      <c r="N17" s="407"/>
    </row>
    <row r="18" spans="1:14" ht="13.5" customHeight="1" x14ac:dyDescent="0.25">
      <c r="A18" s="142"/>
      <c r="B18" s="143"/>
      <c r="C18" s="405"/>
      <c r="D18" s="405"/>
      <c r="E18" s="405"/>
      <c r="F18" s="405"/>
      <c r="G18" s="405"/>
      <c r="H18" s="405"/>
      <c r="I18" s="405"/>
      <c r="J18" s="405"/>
      <c r="K18" s="405"/>
      <c r="L18" s="405"/>
      <c r="M18" s="405"/>
      <c r="N18" s="407"/>
    </row>
    <row r="19" spans="1:14" ht="13.5" customHeight="1" x14ac:dyDescent="0.25">
      <c r="A19" s="142"/>
      <c r="B19" s="143"/>
      <c r="C19" s="405"/>
      <c r="D19" s="405"/>
      <c r="E19" s="405"/>
      <c r="F19" s="405"/>
      <c r="G19" s="405"/>
      <c r="H19" s="405"/>
      <c r="I19" s="405"/>
      <c r="J19" s="405"/>
      <c r="K19" s="405"/>
      <c r="L19" s="405"/>
      <c r="M19" s="405"/>
      <c r="N19" s="407"/>
    </row>
    <row r="20" spans="1:14" ht="13.5" customHeight="1" x14ac:dyDescent="0.25">
      <c r="A20" s="142"/>
      <c r="B20" s="143"/>
      <c r="C20" s="405"/>
      <c r="D20" s="405"/>
      <c r="E20" s="405"/>
      <c r="F20" s="405"/>
      <c r="G20" s="405"/>
      <c r="H20" s="405"/>
      <c r="I20" s="405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143"/>
      <c r="C21" s="405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7"/>
    </row>
    <row r="22" spans="1:14" ht="13.5" customHeight="1" x14ac:dyDescent="0.25">
      <c r="A22" s="142"/>
      <c r="B22" s="143"/>
      <c r="C22" s="405"/>
      <c r="D22" s="405"/>
      <c r="E22" s="405"/>
      <c r="F22" s="405"/>
      <c r="G22" s="405"/>
      <c r="H22" s="405"/>
      <c r="I22" s="405"/>
      <c r="J22" s="405"/>
      <c r="K22" s="405"/>
      <c r="L22" s="405"/>
      <c r="M22" s="405"/>
      <c r="N22" s="407"/>
    </row>
    <row r="23" spans="1:14" ht="13.5" customHeight="1" x14ac:dyDescent="0.25">
      <c r="A23" s="142"/>
      <c r="B23" s="143"/>
      <c r="C23" s="405"/>
      <c r="D23" s="405"/>
      <c r="E23" s="405"/>
      <c r="F23" s="405"/>
      <c r="G23" s="405"/>
      <c r="H23" s="405"/>
      <c r="I23" s="405"/>
      <c r="J23" s="405"/>
      <c r="K23" s="405"/>
      <c r="L23" s="405"/>
      <c r="M23" s="405"/>
      <c r="N23" s="407"/>
    </row>
    <row r="24" spans="1:14" ht="13.5" customHeight="1" x14ac:dyDescent="0.25">
      <c r="A24" s="142"/>
      <c r="B24" s="143"/>
      <c r="C24" s="405"/>
      <c r="D24" s="405"/>
      <c r="E24" s="405"/>
      <c r="F24" s="405"/>
      <c r="G24" s="405"/>
      <c r="H24" s="405"/>
      <c r="I24" s="405"/>
      <c r="J24" s="405"/>
      <c r="K24" s="405"/>
      <c r="L24" s="405"/>
      <c r="M24" s="405"/>
      <c r="N24" s="407"/>
    </row>
    <row r="25" spans="1:14" ht="13.5" customHeight="1" x14ac:dyDescent="0.25">
      <c r="A25" s="142"/>
      <c r="B25" s="143"/>
      <c r="C25" s="405"/>
      <c r="D25" s="405"/>
      <c r="E25" s="405"/>
      <c r="F25" s="405"/>
      <c r="G25" s="405"/>
      <c r="H25" s="405"/>
      <c r="I25" s="405"/>
      <c r="J25" s="405"/>
      <c r="K25" s="405"/>
      <c r="L25" s="405"/>
      <c r="M25" s="405"/>
      <c r="N25" s="407"/>
    </row>
    <row r="26" spans="1:14" ht="13.5" customHeight="1" x14ac:dyDescent="0.25">
      <c r="A26" s="142"/>
      <c r="B26" s="143"/>
      <c r="C26" s="405"/>
      <c r="D26" s="405"/>
      <c r="E26" s="405"/>
      <c r="F26" s="405"/>
      <c r="G26" s="405"/>
      <c r="H26" s="405"/>
      <c r="I26" s="405"/>
      <c r="J26" s="405"/>
      <c r="K26" s="405"/>
      <c r="L26" s="405"/>
      <c r="M26" s="405"/>
      <c r="N26" s="407"/>
    </row>
    <row r="27" spans="1:14" ht="13.5" customHeight="1" x14ac:dyDescent="0.25">
      <c r="A27" s="142"/>
      <c r="B27" s="143"/>
      <c r="C27" s="405"/>
      <c r="D27" s="405"/>
      <c r="E27" s="405"/>
      <c r="F27" s="405"/>
      <c r="G27" s="405"/>
      <c r="H27" s="405"/>
      <c r="I27" s="405"/>
      <c r="J27" s="405"/>
      <c r="K27" s="405"/>
      <c r="L27" s="405"/>
      <c r="M27" s="405"/>
      <c r="N27" s="407"/>
    </row>
    <row r="28" spans="1:14" ht="13.5" customHeight="1" x14ac:dyDescent="0.25">
      <c r="A28" s="142"/>
      <c r="B28" s="143"/>
      <c r="C28" s="405"/>
      <c r="D28" s="405"/>
      <c r="E28" s="405"/>
      <c r="F28" s="405"/>
      <c r="G28" s="405"/>
      <c r="H28" s="405"/>
      <c r="I28" s="405"/>
      <c r="J28" s="405"/>
      <c r="K28" s="405"/>
      <c r="L28" s="405"/>
      <c r="M28" s="405"/>
      <c r="N28" s="407"/>
    </row>
    <row r="29" spans="1:14" ht="13.5" customHeight="1" x14ac:dyDescent="0.25">
      <c r="A29" s="142"/>
      <c r="B29" s="143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7"/>
    </row>
    <row r="30" spans="1:14" ht="13.5" customHeight="1" x14ac:dyDescent="0.25">
      <c r="A30" s="142"/>
      <c r="B30" s="143"/>
      <c r="C30" s="405"/>
      <c r="D30" s="405"/>
      <c r="E30" s="405"/>
      <c r="F30" s="405"/>
      <c r="G30" s="405"/>
      <c r="H30" s="405"/>
      <c r="I30" s="405"/>
      <c r="J30" s="405"/>
      <c r="K30" s="405"/>
      <c r="L30" s="405"/>
      <c r="M30" s="405"/>
      <c r="N30" s="407"/>
    </row>
    <row r="31" spans="1:14" ht="13.5" customHeight="1" x14ac:dyDescent="0.25">
      <c r="A31" s="142"/>
      <c r="B31" s="143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7"/>
    </row>
    <row r="32" spans="1:14" ht="13.5" customHeight="1" x14ac:dyDescent="0.25">
      <c r="A32" s="142"/>
      <c r="B32" s="143"/>
      <c r="C32" s="405"/>
      <c r="D32" s="405"/>
      <c r="E32" s="405"/>
      <c r="F32" s="405"/>
      <c r="G32" s="405"/>
      <c r="H32" s="405"/>
      <c r="I32" s="405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7"/>
    </row>
    <row r="36" spans="1:14" ht="13.5" customHeight="1" x14ac:dyDescent="0.25">
      <c r="A36" s="142"/>
      <c r="B36" s="143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145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J35:L35"/>
    <mergeCell ref="M35:N35"/>
    <mergeCell ref="C35:G35"/>
    <mergeCell ref="K39:L39"/>
    <mergeCell ref="M39:N39"/>
    <mergeCell ref="H36:I36"/>
    <mergeCell ref="J36:L36"/>
    <mergeCell ref="M36:N36"/>
    <mergeCell ref="H37:I37"/>
    <mergeCell ref="J37:L37"/>
    <mergeCell ref="M37:N37"/>
    <mergeCell ref="H35:I35"/>
    <mergeCell ref="C32:G32"/>
    <mergeCell ref="C33:G33"/>
    <mergeCell ref="H32:I32"/>
    <mergeCell ref="J32:L32"/>
    <mergeCell ref="M32:N32"/>
    <mergeCell ref="C34:G34"/>
    <mergeCell ref="H34:I34"/>
    <mergeCell ref="J34:L34"/>
    <mergeCell ref="M30:N30"/>
    <mergeCell ref="H30:I30"/>
    <mergeCell ref="J30:L30"/>
    <mergeCell ref="H33:I33"/>
    <mergeCell ref="J33:L33"/>
    <mergeCell ref="M34:N34"/>
    <mergeCell ref="H31:I31"/>
    <mergeCell ref="J31:L31"/>
    <mergeCell ref="M31:N31"/>
    <mergeCell ref="M33:N33"/>
    <mergeCell ref="C31:G31"/>
    <mergeCell ref="C30:G30"/>
    <mergeCell ref="H28:I28"/>
    <mergeCell ref="J28:L28"/>
    <mergeCell ref="H29:I29"/>
    <mergeCell ref="J29:L29"/>
    <mergeCell ref="C28:G28"/>
    <mergeCell ref="C29:G29"/>
    <mergeCell ref="M29:N29"/>
    <mergeCell ref="H26:I26"/>
    <mergeCell ref="J26:L26"/>
    <mergeCell ref="M26:N26"/>
    <mergeCell ref="M28:N28"/>
    <mergeCell ref="C23:G23"/>
    <mergeCell ref="H24:I24"/>
    <mergeCell ref="M24:N24"/>
    <mergeCell ref="M27:N27"/>
    <mergeCell ref="H27:I27"/>
    <mergeCell ref="J27:L27"/>
    <mergeCell ref="H25:I25"/>
    <mergeCell ref="J25:L25"/>
    <mergeCell ref="J24:L24"/>
    <mergeCell ref="M25:N25"/>
    <mergeCell ref="C18:G18"/>
    <mergeCell ref="C19:G19"/>
    <mergeCell ref="C22:G22"/>
    <mergeCell ref="C20:G20"/>
    <mergeCell ref="C21:G21"/>
    <mergeCell ref="C26:G26"/>
    <mergeCell ref="C27:G27"/>
    <mergeCell ref="C25:G25"/>
    <mergeCell ref="C24:G24"/>
    <mergeCell ref="M19:N19"/>
    <mergeCell ref="H21:I21"/>
    <mergeCell ref="J21:L21"/>
    <mergeCell ref="M21:N21"/>
    <mergeCell ref="M20:N20"/>
    <mergeCell ref="H20:I20"/>
    <mergeCell ref="J20:L20"/>
    <mergeCell ref="H19:I19"/>
    <mergeCell ref="J19:L19"/>
    <mergeCell ref="M23:N23"/>
    <mergeCell ref="H22:I22"/>
    <mergeCell ref="J22:L22"/>
    <mergeCell ref="M22:N22"/>
    <mergeCell ref="H23:I23"/>
    <mergeCell ref="J23:L23"/>
    <mergeCell ref="M17:N17"/>
    <mergeCell ref="M18:N18"/>
    <mergeCell ref="H18:I18"/>
    <mergeCell ref="J18:L18"/>
    <mergeCell ref="C17:G17"/>
    <mergeCell ref="J16:L16"/>
    <mergeCell ref="H17:I17"/>
    <mergeCell ref="J17:L17"/>
    <mergeCell ref="M16:N16"/>
    <mergeCell ref="C14:G14"/>
    <mergeCell ref="C15:G15"/>
    <mergeCell ref="J15:L15"/>
    <mergeCell ref="H15:I15"/>
    <mergeCell ref="H16:I16"/>
    <mergeCell ref="C16:G16"/>
    <mergeCell ref="H14:I14"/>
    <mergeCell ref="J14:L14"/>
    <mergeCell ref="H13:I13"/>
    <mergeCell ref="J13:L13"/>
    <mergeCell ref="M13:N13"/>
    <mergeCell ref="M14:N14"/>
    <mergeCell ref="M15:N15"/>
    <mergeCell ref="G1:H1"/>
    <mergeCell ref="I1:J1"/>
    <mergeCell ref="K1:L1"/>
    <mergeCell ref="I2:J2"/>
    <mergeCell ref="K2:L2"/>
    <mergeCell ref="G3:H3"/>
    <mergeCell ref="I4:J4"/>
    <mergeCell ref="M4:N4"/>
    <mergeCell ref="G2:H2"/>
    <mergeCell ref="K3:L3"/>
    <mergeCell ref="I3:J3"/>
    <mergeCell ref="M3:N3"/>
    <mergeCell ref="G4:H4"/>
    <mergeCell ref="M2:N2"/>
    <mergeCell ref="K4:L4"/>
    <mergeCell ref="I5:J5"/>
    <mergeCell ref="H12:I12"/>
    <mergeCell ref="J12:L12"/>
    <mergeCell ref="M12:N12"/>
    <mergeCell ref="M10:N10"/>
    <mergeCell ref="J11:L11"/>
    <mergeCell ref="H10:I10"/>
    <mergeCell ref="J10:L10"/>
    <mergeCell ref="C36:G36"/>
    <mergeCell ref="A7:B7"/>
    <mergeCell ref="C7:N7"/>
    <mergeCell ref="M5:N5"/>
    <mergeCell ref="J9:L9"/>
    <mergeCell ref="G6:H6"/>
    <mergeCell ref="A8:N8"/>
    <mergeCell ref="M9:N9"/>
    <mergeCell ref="H9:I9"/>
    <mergeCell ref="G5:H5"/>
    <mergeCell ref="C12:G12"/>
    <mergeCell ref="K5:L5"/>
    <mergeCell ref="C37:G37"/>
    <mergeCell ref="I6:N6"/>
    <mergeCell ref="C9:G9"/>
    <mergeCell ref="C10:G10"/>
    <mergeCell ref="C11:G11"/>
    <mergeCell ref="C13:G13"/>
    <mergeCell ref="M11:N11"/>
    <mergeCell ref="H11:I11"/>
  </mergeCells>
  <phoneticPr fontId="0" type="noConversion"/>
  <dataValidations count="3">
    <dataValidation type="list" errorStyle="warning" allowBlank="1" showInputMessage="1" showErrorMessage="1" errorTitle="Unlisted" error="You have entered an unlisted item.  Please make sure the item entered is correct." sqref="H11:I37" xr:uid="{B39C74BE-4BA3-495A-BB75-2A9F0843AEBC}">
      <formula1>BoltColor</formula1>
    </dataValidation>
    <dataValidation type="list" errorStyle="warning" allowBlank="1" showInputMessage="1" showErrorMessage="1" errorTitle="Unlisted" error="You have entered an unlisted item.  Please make sure the item entered is correct." sqref="C11:C37" xr:uid="{461A0C2F-FC95-458F-B69A-C2C14745B805}">
      <formula1>Bolts</formula1>
    </dataValidation>
    <dataValidation errorStyle="warning" allowBlank="1" showInputMessage="1" showErrorMessage="1" errorTitle="Unlisted" error="You have entered an unlisted item.  Please make sure the item entered is correct." sqref="B11:B37" xr:uid="{66D0CE5B-092E-46D9-8561-F9072981F380}"/>
  </dataValidations>
  <pageMargins left="0.25" right="0.25" top="0.25" bottom="0.25" header="0.5" footer="0.5"/>
  <pageSetup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E008-9EC6-481A-A322-800715718011}">
  <sheetPr codeName="Sheet89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328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156" t="s">
        <v>239</v>
      </c>
      <c r="C9" s="422" t="s">
        <v>240</v>
      </c>
      <c r="D9" s="423"/>
      <c r="E9" s="423"/>
      <c r="F9" s="423"/>
      <c r="G9" s="424"/>
      <c r="H9" s="423" t="s">
        <v>242</v>
      </c>
      <c r="I9" s="424"/>
      <c r="J9" s="422" t="s">
        <v>241</v>
      </c>
      <c r="K9" s="423"/>
      <c r="L9" s="424"/>
      <c r="M9" s="423" t="s">
        <v>327</v>
      </c>
      <c r="N9" s="424"/>
    </row>
    <row r="10" spans="1:16" ht="13.5" customHeight="1" x14ac:dyDescent="0.25">
      <c r="A10" s="106"/>
      <c r="B10" s="71"/>
      <c r="C10" s="413"/>
      <c r="D10" s="413"/>
      <c r="E10" s="413"/>
      <c r="F10" s="413"/>
      <c r="G10" s="413"/>
      <c r="H10" s="414"/>
      <c r="I10" s="414"/>
      <c r="J10" s="413"/>
      <c r="K10" s="413"/>
      <c r="L10" s="413"/>
      <c r="M10" s="413"/>
      <c r="N10" s="415"/>
    </row>
    <row r="11" spans="1:16" ht="13.5" customHeight="1" x14ac:dyDescent="0.25">
      <c r="A11" s="142" t="str">
        <f>"@Data"</f>
        <v>@Data</v>
      </c>
      <c r="B11" s="143"/>
      <c r="C11" s="405"/>
      <c r="D11" s="405"/>
      <c r="E11" s="405"/>
      <c r="F11" s="405"/>
      <c r="G11" s="405"/>
      <c r="H11" s="406"/>
      <c r="I11" s="406"/>
      <c r="J11" s="405"/>
      <c r="K11" s="405"/>
      <c r="L11" s="405"/>
      <c r="M11" s="405"/>
      <c r="N11" s="407"/>
    </row>
    <row r="12" spans="1:16" ht="13.5" customHeight="1" x14ac:dyDescent="0.25">
      <c r="A12" s="142"/>
      <c r="B12" s="143"/>
      <c r="C12" s="405"/>
      <c r="D12" s="405"/>
      <c r="E12" s="405"/>
      <c r="F12" s="405"/>
      <c r="G12" s="405"/>
      <c r="H12" s="406"/>
      <c r="I12" s="406"/>
      <c r="J12" s="405"/>
      <c r="K12" s="405"/>
      <c r="L12" s="405"/>
      <c r="M12" s="405"/>
      <c r="N12" s="407"/>
    </row>
    <row r="13" spans="1:16" ht="13.5" customHeight="1" x14ac:dyDescent="0.25">
      <c r="A13" s="142"/>
      <c r="B13" s="143"/>
      <c r="C13" s="405"/>
      <c r="D13" s="405"/>
      <c r="E13" s="405"/>
      <c r="F13" s="405"/>
      <c r="G13" s="405"/>
      <c r="H13" s="406"/>
      <c r="I13" s="406"/>
      <c r="J13" s="405"/>
      <c r="K13" s="405"/>
      <c r="L13" s="405"/>
      <c r="M13" s="405"/>
      <c r="N13" s="407"/>
    </row>
    <row r="14" spans="1:16" ht="13.5" customHeight="1" x14ac:dyDescent="0.25">
      <c r="A14" s="142"/>
      <c r="B14" s="143"/>
      <c r="C14" s="405"/>
      <c r="D14" s="405"/>
      <c r="E14" s="405"/>
      <c r="F14" s="405"/>
      <c r="G14" s="405"/>
      <c r="H14" s="406"/>
      <c r="I14" s="406"/>
      <c r="J14" s="405"/>
      <c r="K14" s="405"/>
      <c r="L14" s="405"/>
      <c r="M14" s="405"/>
      <c r="N14" s="407"/>
    </row>
    <row r="15" spans="1:16" ht="13.5" customHeight="1" x14ac:dyDescent="0.25">
      <c r="A15" s="142"/>
      <c r="B15" s="143"/>
      <c r="C15" s="405"/>
      <c r="D15" s="405"/>
      <c r="E15" s="405"/>
      <c r="F15" s="405"/>
      <c r="G15" s="405"/>
      <c r="H15" s="406"/>
      <c r="I15" s="406"/>
      <c r="J15" s="405"/>
      <c r="K15" s="405"/>
      <c r="L15" s="405"/>
      <c r="M15" s="405"/>
      <c r="N15" s="407"/>
    </row>
    <row r="16" spans="1:16" ht="13.5" customHeight="1" x14ac:dyDescent="0.25">
      <c r="A16" s="142"/>
      <c r="B16" s="143"/>
      <c r="C16" s="405"/>
      <c r="D16" s="405"/>
      <c r="E16" s="405"/>
      <c r="F16" s="405"/>
      <c r="G16" s="405"/>
      <c r="H16" s="406"/>
      <c r="I16" s="406"/>
      <c r="J16" s="405"/>
      <c r="K16" s="405"/>
      <c r="L16" s="405"/>
      <c r="M16" s="405"/>
      <c r="N16" s="407"/>
    </row>
    <row r="17" spans="1:14" ht="13.5" customHeight="1" x14ac:dyDescent="0.25">
      <c r="A17" s="142"/>
      <c r="B17" s="143"/>
      <c r="C17" s="405"/>
      <c r="D17" s="405"/>
      <c r="E17" s="405"/>
      <c r="F17" s="405"/>
      <c r="G17" s="405"/>
      <c r="H17" s="406"/>
      <c r="I17" s="406"/>
      <c r="J17" s="405"/>
      <c r="K17" s="405"/>
      <c r="L17" s="405"/>
      <c r="M17" s="405"/>
      <c r="N17" s="407"/>
    </row>
    <row r="18" spans="1:14" ht="13.5" customHeight="1" x14ac:dyDescent="0.25">
      <c r="A18" s="142"/>
      <c r="B18" s="143"/>
      <c r="C18" s="405"/>
      <c r="D18" s="405"/>
      <c r="E18" s="405"/>
      <c r="F18" s="405"/>
      <c r="G18" s="405"/>
      <c r="H18" s="406"/>
      <c r="I18" s="406"/>
      <c r="J18" s="405"/>
      <c r="K18" s="405"/>
      <c r="L18" s="405"/>
      <c r="M18" s="405"/>
      <c r="N18" s="407"/>
    </row>
    <row r="19" spans="1:14" ht="13.5" customHeight="1" x14ac:dyDescent="0.25">
      <c r="A19" s="142"/>
      <c r="B19" s="143"/>
      <c r="C19" s="405"/>
      <c r="D19" s="405"/>
      <c r="E19" s="405"/>
      <c r="F19" s="405"/>
      <c r="G19" s="405"/>
      <c r="H19" s="406"/>
      <c r="I19" s="406"/>
      <c r="J19" s="405"/>
      <c r="K19" s="405"/>
      <c r="L19" s="405"/>
      <c r="M19" s="405"/>
      <c r="N19" s="407"/>
    </row>
    <row r="20" spans="1:14" ht="13.5" customHeight="1" x14ac:dyDescent="0.25">
      <c r="A20" s="142"/>
      <c r="B20" s="143"/>
      <c r="C20" s="405"/>
      <c r="D20" s="405"/>
      <c r="E20" s="405"/>
      <c r="F20" s="405"/>
      <c r="G20" s="405"/>
      <c r="H20" s="406"/>
      <c r="I20" s="406"/>
      <c r="J20" s="405"/>
      <c r="K20" s="405"/>
      <c r="L20" s="405"/>
      <c r="M20" s="405"/>
      <c r="N20" s="407"/>
    </row>
    <row r="21" spans="1:14" s="2" customFormat="1" ht="13.5" customHeight="1" x14ac:dyDescent="0.25">
      <c r="A21" s="142"/>
      <c r="B21" s="143"/>
      <c r="C21" s="405"/>
      <c r="D21" s="405"/>
      <c r="E21" s="405"/>
      <c r="F21" s="405"/>
      <c r="G21" s="405"/>
      <c r="H21" s="406"/>
      <c r="I21" s="406"/>
      <c r="J21" s="405"/>
      <c r="K21" s="405"/>
      <c r="L21" s="405"/>
      <c r="M21" s="405"/>
      <c r="N21" s="407"/>
    </row>
    <row r="22" spans="1:14" ht="13.5" customHeight="1" x14ac:dyDescent="0.25">
      <c r="A22" s="142"/>
      <c r="B22" s="143"/>
      <c r="C22" s="405"/>
      <c r="D22" s="405"/>
      <c r="E22" s="405"/>
      <c r="F22" s="405"/>
      <c r="G22" s="405"/>
      <c r="H22" s="406"/>
      <c r="I22" s="406"/>
      <c r="J22" s="405"/>
      <c r="K22" s="405"/>
      <c r="L22" s="405"/>
      <c r="M22" s="405"/>
      <c r="N22" s="407"/>
    </row>
    <row r="23" spans="1:14" ht="13.5" customHeight="1" x14ac:dyDescent="0.25">
      <c r="A23" s="142"/>
      <c r="B23" s="143"/>
      <c r="C23" s="405"/>
      <c r="D23" s="405"/>
      <c r="E23" s="405"/>
      <c r="F23" s="405"/>
      <c r="G23" s="405"/>
      <c r="H23" s="406"/>
      <c r="I23" s="406"/>
      <c r="J23" s="405"/>
      <c r="K23" s="405"/>
      <c r="L23" s="405"/>
      <c r="M23" s="405"/>
      <c r="N23" s="407"/>
    </row>
    <row r="24" spans="1:14" ht="13.5" customHeight="1" x14ac:dyDescent="0.25">
      <c r="A24" s="142"/>
      <c r="B24" s="143"/>
      <c r="C24" s="405"/>
      <c r="D24" s="405"/>
      <c r="E24" s="405"/>
      <c r="F24" s="405"/>
      <c r="G24" s="405"/>
      <c r="H24" s="406"/>
      <c r="I24" s="406"/>
      <c r="J24" s="405"/>
      <c r="K24" s="405"/>
      <c r="L24" s="405"/>
      <c r="M24" s="405"/>
      <c r="N24" s="407"/>
    </row>
    <row r="25" spans="1:14" ht="13.5" customHeight="1" x14ac:dyDescent="0.25">
      <c r="A25" s="142"/>
      <c r="B25" s="143"/>
      <c r="C25" s="405"/>
      <c r="D25" s="405"/>
      <c r="E25" s="405"/>
      <c r="F25" s="405"/>
      <c r="G25" s="405"/>
      <c r="H25" s="406"/>
      <c r="I25" s="406"/>
      <c r="J25" s="405"/>
      <c r="K25" s="405"/>
      <c r="L25" s="405"/>
      <c r="M25" s="405"/>
      <c r="N25" s="407"/>
    </row>
    <row r="26" spans="1:14" ht="13.5" customHeight="1" x14ac:dyDescent="0.25">
      <c r="A26" s="142"/>
      <c r="B26" s="143"/>
      <c r="C26" s="405"/>
      <c r="D26" s="405"/>
      <c r="E26" s="405"/>
      <c r="F26" s="405"/>
      <c r="G26" s="405"/>
      <c r="H26" s="406"/>
      <c r="I26" s="406"/>
      <c r="J26" s="405"/>
      <c r="K26" s="405"/>
      <c r="L26" s="405"/>
      <c r="M26" s="405"/>
      <c r="N26" s="407"/>
    </row>
    <row r="27" spans="1:14" ht="13.5" customHeight="1" x14ac:dyDescent="0.25">
      <c r="A27" s="142"/>
      <c r="B27" s="143"/>
      <c r="C27" s="405"/>
      <c r="D27" s="405"/>
      <c r="E27" s="405"/>
      <c r="F27" s="405"/>
      <c r="G27" s="405"/>
      <c r="H27" s="406"/>
      <c r="I27" s="406"/>
      <c r="J27" s="405"/>
      <c r="K27" s="405"/>
      <c r="L27" s="405"/>
      <c r="M27" s="405"/>
      <c r="N27" s="407"/>
    </row>
    <row r="28" spans="1:14" ht="13.5" customHeight="1" x14ac:dyDescent="0.25">
      <c r="A28" s="142"/>
      <c r="B28" s="143"/>
      <c r="C28" s="405"/>
      <c r="D28" s="405"/>
      <c r="E28" s="405"/>
      <c r="F28" s="405"/>
      <c r="G28" s="405"/>
      <c r="H28" s="406"/>
      <c r="I28" s="406"/>
      <c r="J28" s="405"/>
      <c r="K28" s="405"/>
      <c r="L28" s="405"/>
      <c r="M28" s="405"/>
      <c r="N28" s="407"/>
    </row>
    <row r="29" spans="1:14" ht="13.5" customHeight="1" x14ac:dyDescent="0.25">
      <c r="A29" s="142"/>
      <c r="B29" s="143"/>
      <c r="C29" s="405"/>
      <c r="D29" s="405"/>
      <c r="E29" s="405"/>
      <c r="F29" s="405"/>
      <c r="G29" s="405"/>
      <c r="H29" s="406"/>
      <c r="I29" s="406"/>
      <c r="J29" s="405"/>
      <c r="K29" s="405"/>
      <c r="L29" s="405"/>
      <c r="M29" s="405"/>
      <c r="N29" s="407"/>
    </row>
    <row r="30" spans="1:14" ht="13.5" customHeight="1" x14ac:dyDescent="0.25">
      <c r="A30" s="142"/>
      <c r="B30" s="143"/>
      <c r="C30" s="405"/>
      <c r="D30" s="405"/>
      <c r="E30" s="405"/>
      <c r="F30" s="405"/>
      <c r="G30" s="405"/>
      <c r="H30" s="406"/>
      <c r="I30" s="406"/>
      <c r="J30" s="405"/>
      <c r="K30" s="405"/>
      <c r="L30" s="405"/>
      <c r="M30" s="405"/>
      <c r="N30" s="407"/>
    </row>
    <row r="31" spans="1:14" ht="13.5" customHeight="1" x14ac:dyDescent="0.25">
      <c r="A31" s="142"/>
      <c r="B31" s="143"/>
      <c r="C31" s="405"/>
      <c r="D31" s="405"/>
      <c r="E31" s="405"/>
      <c r="F31" s="405"/>
      <c r="G31" s="405"/>
      <c r="H31" s="406"/>
      <c r="I31" s="406"/>
      <c r="J31" s="405"/>
      <c r="K31" s="405"/>
      <c r="L31" s="405"/>
      <c r="M31" s="405"/>
      <c r="N31" s="407"/>
    </row>
    <row r="32" spans="1:14" ht="13.5" customHeight="1" x14ac:dyDescent="0.25">
      <c r="A32" s="142"/>
      <c r="B32" s="143"/>
      <c r="C32" s="405"/>
      <c r="D32" s="405"/>
      <c r="E32" s="405"/>
      <c r="F32" s="405"/>
      <c r="G32" s="405"/>
      <c r="H32" s="406"/>
      <c r="I32" s="406"/>
      <c r="J32" s="405"/>
      <c r="K32" s="405"/>
      <c r="L32" s="405"/>
      <c r="M32" s="405"/>
      <c r="N32" s="407"/>
    </row>
    <row r="33" spans="1:14" ht="13.5" customHeight="1" x14ac:dyDescent="0.25">
      <c r="A33" s="142"/>
      <c r="B33" s="143"/>
      <c r="C33" s="405"/>
      <c r="D33" s="405"/>
      <c r="E33" s="405"/>
      <c r="F33" s="405"/>
      <c r="G33" s="405"/>
      <c r="H33" s="406"/>
      <c r="I33" s="406"/>
      <c r="J33" s="405"/>
      <c r="K33" s="405"/>
      <c r="L33" s="405"/>
      <c r="M33" s="405"/>
      <c r="N33" s="407"/>
    </row>
    <row r="34" spans="1:14" ht="13.5" customHeight="1" x14ac:dyDescent="0.25">
      <c r="A34" s="142"/>
      <c r="B34" s="143"/>
      <c r="C34" s="405"/>
      <c r="D34" s="405"/>
      <c r="E34" s="405"/>
      <c r="F34" s="405"/>
      <c r="G34" s="405"/>
      <c r="H34" s="406"/>
      <c r="I34" s="406"/>
      <c r="J34" s="405"/>
      <c r="K34" s="405"/>
      <c r="L34" s="405"/>
      <c r="M34" s="405"/>
      <c r="N34" s="407"/>
    </row>
    <row r="35" spans="1:14" ht="13.5" customHeight="1" x14ac:dyDescent="0.25">
      <c r="A35" s="142"/>
      <c r="B35" s="143"/>
      <c r="C35" s="405"/>
      <c r="D35" s="405"/>
      <c r="E35" s="405"/>
      <c r="F35" s="405"/>
      <c r="G35" s="405"/>
      <c r="H35" s="406"/>
      <c r="I35" s="406"/>
      <c r="J35" s="405"/>
      <c r="K35" s="405"/>
      <c r="L35" s="405"/>
      <c r="M35" s="405"/>
      <c r="N35" s="407"/>
    </row>
    <row r="36" spans="1:14" ht="13.5" customHeight="1" x14ac:dyDescent="0.25">
      <c r="A36" s="142"/>
      <c r="B36" s="143"/>
      <c r="C36" s="405"/>
      <c r="D36" s="405"/>
      <c r="E36" s="405"/>
      <c r="F36" s="405"/>
      <c r="G36" s="405"/>
      <c r="H36" s="406"/>
      <c r="I36" s="406"/>
      <c r="J36" s="405"/>
      <c r="K36" s="405"/>
      <c r="L36" s="405"/>
      <c r="M36" s="405"/>
      <c r="N36" s="407"/>
    </row>
    <row r="37" spans="1:14" ht="13.5" customHeight="1" thickBot="1" x14ac:dyDescent="0.3">
      <c r="A37" s="144"/>
      <c r="B37" s="145"/>
      <c r="C37" s="408"/>
      <c r="D37" s="408"/>
      <c r="E37" s="408"/>
      <c r="F37" s="408"/>
      <c r="G37" s="408"/>
      <c r="H37" s="409"/>
      <c r="I37" s="409"/>
      <c r="J37" s="408"/>
      <c r="K37" s="408"/>
      <c r="L37" s="408"/>
      <c r="M37" s="408"/>
      <c r="N37" s="410"/>
    </row>
    <row r="38" spans="1:14" ht="13.5" customHeight="1" x14ac:dyDescent="0.25"/>
    <row r="39" spans="1:14" ht="13.5" customHeight="1" x14ac:dyDescent="0.25">
      <c r="I39" s="68"/>
      <c r="J39" s="68"/>
      <c r="K39" s="403" t="s">
        <v>263</v>
      </c>
      <c r="L39" s="403"/>
      <c r="M39" s="404">
        <f>SUM(M11:M37)</f>
        <v>0</v>
      </c>
      <c r="N39" s="404"/>
    </row>
  </sheetData>
  <mergeCells count="142">
    <mergeCell ref="C37:G37"/>
    <mergeCell ref="H37:I37"/>
    <mergeCell ref="J35:L35"/>
    <mergeCell ref="M35:N35"/>
    <mergeCell ref="C36:G36"/>
    <mergeCell ref="H36:I36"/>
    <mergeCell ref="C35:G35"/>
    <mergeCell ref="H35:I35"/>
    <mergeCell ref="K39:L39"/>
    <mergeCell ref="M39:N39"/>
    <mergeCell ref="J36:L36"/>
    <mergeCell ref="M36:N36"/>
    <mergeCell ref="J37:L37"/>
    <mergeCell ref="M37:N37"/>
    <mergeCell ref="C33:G33"/>
    <mergeCell ref="H33:I33"/>
    <mergeCell ref="J33:L33"/>
    <mergeCell ref="M33:N33"/>
    <mergeCell ref="C34:G34"/>
    <mergeCell ref="H34:I34"/>
    <mergeCell ref="J34:L34"/>
    <mergeCell ref="M34:N34"/>
    <mergeCell ref="J32:L32"/>
    <mergeCell ref="M32:N32"/>
    <mergeCell ref="C30:G30"/>
    <mergeCell ref="H30:I30"/>
    <mergeCell ref="J30:L30"/>
    <mergeCell ref="M30:N30"/>
    <mergeCell ref="C32:G32"/>
    <mergeCell ref="H32:I32"/>
    <mergeCell ref="J31:L31"/>
    <mergeCell ref="M31:N31"/>
    <mergeCell ref="C31:G31"/>
    <mergeCell ref="H31:I31"/>
    <mergeCell ref="J29:L29"/>
    <mergeCell ref="M29:N29"/>
    <mergeCell ref="C29:G29"/>
    <mergeCell ref="H29:I29"/>
    <mergeCell ref="C28:G28"/>
    <mergeCell ref="H28:I28"/>
    <mergeCell ref="J28:L28"/>
    <mergeCell ref="M28:N28"/>
    <mergeCell ref="C26:G26"/>
    <mergeCell ref="H26:I26"/>
    <mergeCell ref="J26:L26"/>
    <mergeCell ref="M26:N26"/>
    <mergeCell ref="C27:G27"/>
    <mergeCell ref="H27:I27"/>
    <mergeCell ref="J27:L27"/>
    <mergeCell ref="M27:N27"/>
    <mergeCell ref="C24:G24"/>
    <mergeCell ref="H24:I24"/>
    <mergeCell ref="J24:L24"/>
    <mergeCell ref="M24:N24"/>
    <mergeCell ref="C25:G25"/>
    <mergeCell ref="H25:I25"/>
    <mergeCell ref="J25:L25"/>
    <mergeCell ref="M25:N25"/>
    <mergeCell ref="C22:G22"/>
    <mergeCell ref="H22:I22"/>
    <mergeCell ref="J22:L22"/>
    <mergeCell ref="M22:N22"/>
    <mergeCell ref="C23:G23"/>
    <mergeCell ref="H23:I23"/>
    <mergeCell ref="J23:L23"/>
    <mergeCell ref="M23:N23"/>
    <mergeCell ref="C20:G20"/>
    <mergeCell ref="H20:I20"/>
    <mergeCell ref="J20:L20"/>
    <mergeCell ref="M20:N20"/>
    <mergeCell ref="C21:G21"/>
    <mergeCell ref="H21:I21"/>
    <mergeCell ref="J21:L21"/>
    <mergeCell ref="M21:N21"/>
    <mergeCell ref="C18:G18"/>
    <mergeCell ref="H18:I18"/>
    <mergeCell ref="J18:L18"/>
    <mergeCell ref="M18:N18"/>
    <mergeCell ref="C19:G19"/>
    <mergeCell ref="H19:I19"/>
    <mergeCell ref="J19:L19"/>
    <mergeCell ref="M19:N19"/>
    <mergeCell ref="C16:G16"/>
    <mergeCell ref="H16:I16"/>
    <mergeCell ref="J16:L16"/>
    <mergeCell ref="M16:N16"/>
    <mergeCell ref="C17:G17"/>
    <mergeCell ref="H17:I17"/>
    <mergeCell ref="J17:L17"/>
    <mergeCell ref="M17:N17"/>
    <mergeCell ref="M15:N15"/>
    <mergeCell ref="C14:G14"/>
    <mergeCell ref="H14:I14"/>
    <mergeCell ref="J14:L14"/>
    <mergeCell ref="M14:N14"/>
    <mergeCell ref="H12:I12"/>
    <mergeCell ref="J12:L12"/>
    <mergeCell ref="C15:G15"/>
    <mergeCell ref="H15:I15"/>
    <mergeCell ref="J15:L15"/>
    <mergeCell ref="M10:N10"/>
    <mergeCell ref="M12:N12"/>
    <mergeCell ref="C13:G13"/>
    <mergeCell ref="H13:I13"/>
    <mergeCell ref="J13:L13"/>
    <mergeCell ref="M13:N13"/>
    <mergeCell ref="C10:G10"/>
    <mergeCell ref="H10:I10"/>
    <mergeCell ref="J10:L10"/>
    <mergeCell ref="C12:G12"/>
    <mergeCell ref="C11:G11"/>
    <mergeCell ref="H11:I11"/>
    <mergeCell ref="J11:L11"/>
    <mergeCell ref="M11:N11"/>
    <mergeCell ref="G3:H3"/>
    <mergeCell ref="I4:J4"/>
    <mergeCell ref="K4:L4"/>
    <mergeCell ref="C9:G9"/>
    <mergeCell ref="H9:I9"/>
    <mergeCell ref="J9:L9"/>
    <mergeCell ref="G5:H5"/>
    <mergeCell ref="I3:J3"/>
    <mergeCell ref="K3:L3"/>
    <mergeCell ref="K5:L5"/>
    <mergeCell ref="M5:N5"/>
    <mergeCell ref="I5:J5"/>
    <mergeCell ref="G4:H4"/>
    <mergeCell ref="M3:N3"/>
    <mergeCell ref="M4:N4"/>
    <mergeCell ref="M9:N9"/>
    <mergeCell ref="G6:H6"/>
    <mergeCell ref="A8:N8"/>
    <mergeCell ref="A7:B7"/>
    <mergeCell ref="C7:N7"/>
    <mergeCell ref="I6:N6"/>
    <mergeCell ref="M2:N2"/>
    <mergeCell ref="G1:H1"/>
    <mergeCell ref="I1:J1"/>
    <mergeCell ref="K1:L1"/>
    <mergeCell ref="I2:J2"/>
    <mergeCell ref="K2:L2"/>
    <mergeCell ref="G2:H2"/>
  </mergeCells>
  <phoneticPr fontId="0" type="noConversion"/>
  <dataValidations count="3">
    <dataValidation errorStyle="warning" allowBlank="1" showInputMessage="1" showErrorMessage="1" errorTitle="Unlisted" error="You have entered an unlisted item.  Please make sure the item entered is correct." sqref="B11:B37" xr:uid="{9C8BE4D0-1DE4-47FB-BD15-DC0F791359A5}"/>
    <dataValidation type="list" errorStyle="warning" allowBlank="1" showInputMessage="1" showErrorMessage="1" errorTitle="Unlisted" error="You have entered an unlisted item.  Please make sure the item entered is correct." sqref="H11:I37" xr:uid="{709C7F89-0AAC-4303-9911-E899F24273C7}">
      <formula1>ScrewColors</formula1>
    </dataValidation>
    <dataValidation type="list" errorStyle="warning" allowBlank="1" showInputMessage="1" showErrorMessage="1" errorTitle="Unlisted" error="You have entered an unlisted item.  Please make sure the item entered is correct." sqref="C11:C37" xr:uid="{C77759C3-3CF1-4C3D-995C-31B8D0D15F15}">
      <formula1>Screws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1EA6-A6C3-4B45-A82A-7B513CFC34DF}">
  <sheetPr codeName="Sheet90"/>
  <dimension ref="A1:P39"/>
  <sheetViews>
    <sheetView zoomScaleNormal="100" workbookViewId="0">
      <selection activeCell="E11" sqref="E11"/>
    </sheetView>
  </sheetViews>
  <sheetFormatPr defaultColWidth="9.21875" defaultRowHeight="13.2" x14ac:dyDescent="0.25"/>
  <cols>
    <col min="1" max="1" width="5.77734375" customWidth="1"/>
    <col min="2" max="2" width="11.77734375" customWidth="1"/>
    <col min="3" max="3" width="8.77734375" customWidth="1"/>
    <col min="4" max="4" width="10.77734375" customWidth="1"/>
    <col min="5" max="5" width="13.77734375" customWidth="1"/>
    <col min="6" max="6" width="7.77734375" customWidth="1"/>
    <col min="7" max="7" width="6.77734375" customWidth="1"/>
    <col min="8" max="8" width="12.77734375" customWidth="1"/>
    <col min="9" max="10" width="9.77734375" customWidth="1"/>
    <col min="11" max="11" width="5.77734375" customWidth="1"/>
    <col min="12" max="12" width="13.77734375" customWidth="1"/>
    <col min="13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278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22" t="s">
        <v>266</v>
      </c>
      <c r="C9" s="423"/>
      <c r="D9" s="424"/>
      <c r="E9" s="38" t="s">
        <v>267</v>
      </c>
      <c r="F9" s="422" t="s">
        <v>268</v>
      </c>
      <c r="G9" s="424"/>
      <c r="H9" s="38" t="s">
        <v>50</v>
      </c>
      <c r="I9" s="416" t="s">
        <v>269</v>
      </c>
      <c r="J9" s="421"/>
      <c r="K9" s="417"/>
      <c r="L9" s="198" t="s">
        <v>270</v>
      </c>
      <c r="M9" s="107" t="s">
        <v>242</v>
      </c>
      <c r="N9" s="38" t="s">
        <v>354</v>
      </c>
    </row>
    <row r="10" spans="1:16" ht="13.5" customHeight="1" x14ac:dyDescent="0.25">
      <c r="A10" s="556"/>
      <c r="B10" s="557"/>
      <c r="C10" s="557"/>
      <c r="D10" s="557"/>
      <c r="E10" s="557"/>
      <c r="F10" s="557"/>
      <c r="G10" s="557"/>
      <c r="H10" s="557"/>
      <c r="I10" s="557"/>
      <c r="J10" s="557"/>
      <c r="K10" s="557"/>
      <c r="L10" s="557"/>
      <c r="M10" s="557"/>
      <c r="N10" s="558"/>
    </row>
    <row r="11" spans="1:16" ht="13.5" customHeight="1" x14ac:dyDescent="0.25">
      <c r="A11" s="200" t="str">
        <f>"@Walk"</f>
        <v>@Walk</v>
      </c>
      <c r="B11" s="548"/>
      <c r="C11" s="548"/>
      <c r="D11" s="548"/>
      <c r="E11" s="199"/>
      <c r="F11" s="549"/>
      <c r="G11" s="549"/>
      <c r="H11" s="199"/>
      <c r="I11" s="553"/>
      <c r="J11" s="554"/>
      <c r="K11" s="555"/>
      <c r="L11" s="202"/>
      <c r="M11" s="201"/>
      <c r="N11" s="203"/>
    </row>
    <row r="12" spans="1:16" ht="13.5" customHeight="1" x14ac:dyDescent="0.25">
      <c r="A12" s="550"/>
      <c r="B12" s="551"/>
      <c r="C12" s="551"/>
      <c r="D12" s="551"/>
      <c r="E12" s="551"/>
      <c r="F12" s="551"/>
      <c r="G12" s="551"/>
      <c r="H12" s="551"/>
      <c r="I12" s="551"/>
      <c r="J12" s="551"/>
      <c r="K12" s="551"/>
      <c r="L12" s="551"/>
      <c r="M12" s="551"/>
      <c r="N12" s="552"/>
    </row>
    <row r="13" spans="1:16" ht="13.5" customHeight="1" x14ac:dyDescent="0.25">
      <c r="A13" s="200"/>
      <c r="B13" s="548"/>
      <c r="C13" s="548"/>
      <c r="D13" s="548"/>
      <c r="E13" s="199"/>
      <c r="F13" s="549"/>
      <c r="G13" s="549"/>
      <c r="H13" s="199"/>
      <c r="I13" s="553"/>
      <c r="J13" s="554"/>
      <c r="K13" s="555"/>
      <c r="L13" s="202"/>
      <c r="M13" s="201"/>
      <c r="N13" s="203"/>
    </row>
    <row r="14" spans="1:16" ht="13.5" customHeight="1" x14ac:dyDescent="0.25">
      <c r="A14" s="550"/>
      <c r="B14" s="551"/>
      <c r="C14" s="551"/>
      <c r="D14" s="551"/>
      <c r="E14" s="551"/>
      <c r="F14" s="551"/>
      <c r="G14" s="551"/>
      <c r="H14" s="551"/>
      <c r="I14" s="551"/>
      <c r="J14" s="551"/>
      <c r="K14" s="551"/>
      <c r="L14" s="551"/>
      <c r="M14" s="551"/>
      <c r="N14" s="552"/>
    </row>
    <row r="15" spans="1:16" ht="13.5" customHeight="1" x14ac:dyDescent="0.25">
      <c r="A15" s="200"/>
      <c r="B15" s="548"/>
      <c r="C15" s="548"/>
      <c r="D15" s="548"/>
      <c r="E15" s="199"/>
      <c r="F15" s="549"/>
      <c r="G15" s="549"/>
      <c r="H15" s="199"/>
      <c r="I15" s="553"/>
      <c r="J15" s="554"/>
      <c r="K15" s="555"/>
      <c r="L15" s="202"/>
      <c r="M15" s="201"/>
      <c r="N15" s="203"/>
    </row>
    <row r="16" spans="1:16" ht="13.5" customHeight="1" x14ac:dyDescent="0.25">
      <c r="A16" s="550"/>
      <c r="B16" s="551"/>
      <c r="C16" s="551"/>
      <c r="D16" s="551"/>
      <c r="E16" s="551"/>
      <c r="F16" s="551"/>
      <c r="G16" s="551"/>
      <c r="H16" s="551"/>
      <c r="I16" s="551"/>
      <c r="J16" s="551"/>
      <c r="K16" s="551"/>
      <c r="L16" s="551"/>
      <c r="M16" s="551"/>
      <c r="N16" s="552"/>
    </row>
    <row r="17" spans="1:14" ht="13.5" customHeight="1" x14ac:dyDescent="0.25">
      <c r="A17" s="200"/>
      <c r="B17" s="548"/>
      <c r="C17" s="548"/>
      <c r="D17" s="548"/>
      <c r="E17" s="199"/>
      <c r="F17" s="549"/>
      <c r="G17" s="549"/>
      <c r="H17" s="199"/>
      <c r="I17" s="553"/>
      <c r="J17" s="554"/>
      <c r="K17" s="555"/>
      <c r="L17" s="202"/>
      <c r="M17" s="201"/>
      <c r="N17" s="203"/>
    </row>
    <row r="18" spans="1:14" ht="13.5" customHeight="1" x14ac:dyDescent="0.25">
      <c r="A18" s="550"/>
      <c r="B18" s="551"/>
      <c r="C18" s="551"/>
      <c r="D18" s="551"/>
      <c r="E18" s="551"/>
      <c r="F18" s="551"/>
      <c r="G18" s="551"/>
      <c r="H18" s="551"/>
      <c r="I18" s="551"/>
      <c r="J18" s="551"/>
      <c r="K18" s="551"/>
      <c r="L18" s="551"/>
      <c r="M18" s="551"/>
      <c r="N18" s="552"/>
    </row>
    <row r="19" spans="1:14" ht="13.5" customHeight="1" x14ac:dyDescent="0.25">
      <c r="A19" s="200"/>
      <c r="B19" s="548"/>
      <c r="C19" s="548"/>
      <c r="D19" s="548"/>
      <c r="E19" s="199"/>
      <c r="F19" s="549"/>
      <c r="G19" s="549"/>
      <c r="H19" s="199"/>
      <c r="I19" s="553"/>
      <c r="J19" s="554"/>
      <c r="K19" s="555"/>
      <c r="L19" s="202"/>
      <c r="M19" s="201"/>
      <c r="N19" s="203"/>
    </row>
    <row r="20" spans="1:14" ht="13.5" customHeight="1" x14ac:dyDescent="0.25">
      <c r="A20" s="550"/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2"/>
    </row>
    <row r="21" spans="1:14" s="2" customFormat="1" ht="13.5" customHeight="1" x14ac:dyDescent="0.25">
      <c r="A21" s="200"/>
      <c r="B21" s="548"/>
      <c r="C21" s="548"/>
      <c r="D21" s="548"/>
      <c r="E21" s="199"/>
      <c r="F21" s="549"/>
      <c r="G21" s="549"/>
      <c r="H21" s="199"/>
      <c r="I21" s="553"/>
      <c r="J21" s="554"/>
      <c r="K21" s="555"/>
      <c r="L21" s="202"/>
      <c r="M21" s="201"/>
      <c r="N21" s="203"/>
    </row>
    <row r="22" spans="1:14" ht="13.5" customHeight="1" x14ac:dyDescent="0.25">
      <c r="A22" s="550"/>
      <c r="B22" s="551"/>
      <c r="C22" s="551"/>
      <c r="D22" s="551"/>
      <c r="E22" s="551"/>
      <c r="F22" s="551"/>
      <c r="G22" s="551"/>
      <c r="H22" s="551"/>
      <c r="I22" s="551"/>
      <c r="J22" s="551"/>
      <c r="K22" s="551"/>
      <c r="L22" s="551"/>
      <c r="M22" s="551"/>
      <c r="N22" s="552"/>
    </row>
    <row r="23" spans="1:14" ht="13.5" customHeight="1" x14ac:dyDescent="0.25">
      <c r="A23" s="200"/>
      <c r="B23" s="548"/>
      <c r="C23" s="548"/>
      <c r="D23" s="548"/>
      <c r="E23" s="199"/>
      <c r="F23" s="549"/>
      <c r="G23" s="549"/>
      <c r="H23" s="199"/>
      <c r="I23" s="553"/>
      <c r="J23" s="554"/>
      <c r="K23" s="555"/>
      <c r="L23" s="202"/>
      <c r="M23" s="201"/>
      <c r="N23" s="203"/>
    </row>
    <row r="24" spans="1:14" ht="13.5" customHeight="1" x14ac:dyDescent="0.25">
      <c r="A24" s="550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2"/>
    </row>
    <row r="25" spans="1:14" ht="13.5" customHeight="1" x14ac:dyDescent="0.25">
      <c r="A25" s="200"/>
      <c r="B25" s="548"/>
      <c r="C25" s="548"/>
      <c r="D25" s="548"/>
      <c r="E25" s="199"/>
      <c r="F25" s="549"/>
      <c r="G25" s="549"/>
      <c r="H25" s="199"/>
      <c r="I25" s="553"/>
      <c r="J25" s="554"/>
      <c r="K25" s="555"/>
      <c r="L25" s="202"/>
      <c r="M25" s="201"/>
      <c r="N25" s="203"/>
    </row>
    <row r="26" spans="1:14" ht="13.5" customHeight="1" x14ac:dyDescent="0.25">
      <c r="A26" s="550"/>
      <c r="B26" s="551"/>
      <c r="C26" s="551"/>
      <c r="D26" s="551"/>
      <c r="E26" s="551"/>
      <c r="F26" s="551"/>
      <c r="G26" s="551"/>
      <c r="H26" s="551"/>
      <c r="I26" s="551"/>
      <c r="J26" s="551"/>
      <c r="K26" s="551"/>
      <c r="L26" s="551"/>
      <c r="M26" s="551"/>
      <c r="N26" s="552"/>
    </row>
    <row r="27" spans="1:14" ht="13.5" customHeight="1" x14ac:dyDescent="0.25">
      <c r="A27" s="200"/>
      <c r="B27" s="548"/>
      <c r="C27" s="548"/>
      <c r="D27" s="548"/>
      <c r="E27" s="199"/>
      <c r="F27" s="549"/>
      <c r="G27" s="549"/>
      <c r="H27" s="199"/>
      <c r="I27" s="553"/>
      <c r="J27" s="554"/>
      <c r="K27" s="555"/>
      <c r="L27" s="202"/>
      <c r="M27" s="201"/>
      <c r="N27" s="203"/>
    </row>
    <row r="28" spans="1:14" ht="13.5" customHeight="1" x14ac:dyDescent="0.25">
      <c r="A28" s="550"/>
      <c r="B28" s="551"/>
      <c r="C28" s="551"/>
      <c r="D28" s="551"/>
      <c r="E28" s="551"/>
      <c r="F28" s="551"/>
      <c r="G28" s="551"/>
      <c r="H28" s="551"/>
      <c r="I28" s="551"/>
      <c r="J28" s="551"/>
      <c r="K28" s="551"/>
      <c r="L28" s="551"/>
      <c r="M28" s="551"/>
      <c r="N28" s="552"/>
    </row>
    <row r="29" spans="1:14" ht="13.5" customHeight="1" x14ac:dyDescent="0.25">
      <c r="A29" s="200"/>
      <c r="B29" s="548"/>
      <c r="C29" s="548"/>
      <c r="D29" s="548"/>
      <c r="E29" s="199"/>
      <c r="F29" s="549"/>
      <c r="G29" s="549"/>
      <c r="H29" s="199"/>
      <c r="I29" s="553"/>
      <c r="J29" s="554"/>
      <c r="K29" s="555"/>
      <c r="L29" s="202"/>
      <c r="M29" s="201"/>
      <c r="N29" s="203"/>
    </row>
    <row r="30" spans="1:14" ht="13.5" customHeight="1" x14ac:dyDescent="0.25">
      <c r="A30" s="550"/>
      <c r="B30" s="551"/>
      <c r="C30" s="551"/>
      <c r="D30" s="551"/>
      <c r="E30" s="551"/>
      <c r="F30" s="551"/>
      <c r="G30" s="551"/>
      <c r="H30" s="551"/>
      <c r="I30" s="551"/>
      <c r="J30" s="551"/>
      <c r="K30" s="551"/>
      <c r="L30" s="551"/>
      <c r="M30" s="551"/>
      <c r="N30" s="552"/>
    </row>
    <row r="31" spans="1:14" ht="13.5" customHeight="1" x14ac:dyDescent="0.25">
      <c r="A31" s="200"/>
      <c r="B31" s="548"/>
      <c r="C31" s="548"/>
      <c r="D31" s="548"/>
      <c r="E31" s="199"/>
      <c r="F31" s="549"/>
      <c r="G31" s="549"/>
      <c r="H31" s="199"/>
      <c r="I31" s="553"/>
      <c r="J31" s="554"/>
      <c r="K31" s="555"/>
      <c r="L31" s="202"/>
      <c r="M31" s="201"/>
      <c r="N31" s="203"/>
    </row>
    <row r="32" spans="1:14" ht="13.5" customHeight="1" x14ac:dyDescent="0.25">
      <c r="A32" s="550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2"/>
    </row>
    <row r="33" spans="1:14" ht="13.5" customHeight="1" x14ac:dyDescent="0.25">
      <c r="A33" s="200"/>
      <c r="B33" s="548"/>
      <c r="C33" s="548"/>
      <c r="D33" s="548"/>
      <c r="E33" s="199"/>
      <c r="F33" s="549"/>
      <c r="G33" s="549"/>
      <c r="H33" s="199"/>
      <c r="I33" s="553"/>
      <c r="J33" s="554"/>
      <c r="K33" s="555"/>
      <c r="L33" s="202"/>
      <c r="M33" s="201"/>
      <c r="N33" s="203"/>
    </row>
    <row r="34" spans="1:14" ht="13.5" customHeight="1" x14ac:dyDescent="0.25">
      <c r="A34" s="550"/>
      <c r="B34" s="551"/>
      <c r="C34" s="551"/>
      <c r="D34" s="551"/>
      <c r="E34" s="551"/>
      <c r="F34" s="551"/>
      <c r="G34" s="551"/>
      <c r="H34" s="551"/>
      <c r="I34" s="551"/>
      <c r="J34" s="551"/>
      <c r="K34" s="551"/>
      <c r="L34" s="551"/>
      <c r="M34" s="551"/>
      <c r="N34" s="552"/>
    </row>
    <row r="35" spans="1:14" ht="13.5" customHeight="1" x14ac:dyDescent="0.25">
      <c r="A35" s="200"/>
      <c r="B35" s="548"/>
      <c r="C35" s="548"/>
      <c r="D35" s="548"/>
      <c r="E35" s="199"/>
      <c r="F35" s="549"/>
      <c r="G35" s="549"/>
      <c r="H35" s="199"/>
      <c r="I35" s="553"/>
      <c r="J35" s="554"/>
      <c r="K35" s="555"/>
      <c r="L35" s="202"/>
      <c r="M35" s="201"/>
      <c r="N35" s="203"/>
    </row>
    <row r="36" spans="1:14" ht="13.5" customHeight="1" x14ac:dyDescent="0.25">
      <c r="A36" s="550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2"/>
    </row>
    <row r="37" spans="1:14" ht="13.5" customHeight="1" thickBot="1" x14ac:dyDescent="0.3">
      <c r="A37" s="559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1"/>
    </row>
    <row r="38" spans="1:14" ht="13.5" customHeight="1" x14ac:dyDescent="0.25"/>
    <row r="39" spans="1:14" ht="13.5" customHeight="1" x14ac:dyDescent="0.25">
      <c r="I39" s="68"/>
      <c r="J39" s="68"/>
      <c r="K39" s="403"/>
      <c r="L39" s="403"/>
      <c r="M39" s="404"/>
      <c r="N39" s="404"/>
    </row>
  </sheetData>
  <mergeCells count="83">
    <mergeCell ref="I19:K19"/>
    <mergeCell ref="F33:G33"/>
    <mergeCell ref="B29:D29"/>
    <mergeCell ref="I35:K35"/>
    <mergeCell ref="I21:K21"/>
    <mergeCell ref="B21:D21"/>
    <mergeCell ref="F21:G21"/>
    <mergeCell ref="A26:N26"/>
    <mergeCell ref="B27:D27"/>
    <mergeCell ref="A22:N22"/>
    <mergeCell ref="A37:N37"/>
    <mergeCell ref="A32:N32"/>
    <mergeCell ref="B33:D33"/>
    <mergeCell ref="F29:G29"/>
    <mergeCell ref="I33:K33"/>
    <mergeCell ref="A30:N30"/>
    <mergeCell ref="B31:D31"/>
    <mergeCell ref="F31:G31"/>
    <mergeCell ref="I31:K31"/>
    <mergeCell ref="A20:N20"/>
    <mergeCell ref="A28:N28"/>
    <mergeCell ref="I27:K27"/>
    <mergeCell ref="K39:L39"/>
    <mergeCell ref="M39:N39"/>
    <mergeCell ref="A34:N34"/>
    <mergeCell ref="B35:D35"/>
    <mergeCell ref="F35:G35"/>
    <mergeCell ref="I29:K29"/>
    <mergeCell ref="A36:N36"/>
    <mergeCell ref="B23:D23"/>
    <mergeCell ref="F23:G23"/>
    <mergeCell ref="I23:K23"/>
    <mergeCell ref="F27:G27"/>
    <mergeCell ref="A24:N24"/>
    <mergeCell ref="B25:D25"/>
    <mergeCell ref="F25:G25"/>
    <mergeCell ref="I25:K25"/>
    <mergeCell ref="I6:N6"/>
    <mergeCell ref="A7:B7"/>
    <mergeCell ref="A18:N18"/>
    <mergeCell ref="F11:G11"/>
    <mergeCell ref="A12:N12"/>
    <mergeCell ref="B13:D13"/>
    <mergeCell ref="I11:K11"/>
    <mergeCell ref="B9:D9"/>
    <mergeCell ref="F9:G9"/>
    <mergeCell ref="A10:N10"/>
    <mergeCell ref="I17:K17"/>
    <mergeCell ref="F15:G15"/>
    <mergeCell ref="A8:N8"/>
    <mergeCell ref="A16:N16"/>
    <mergeCell ref="B11:D11"/>
    <mergeCell ref="I9:K9"/>
    <mergeCell ref="B17:D17"/>
    <mergeCell ref="F17:G17"/>
    <mergeCell ref="I13:K13"/>
    <mergeCell ref="I15:K15"/>
    <mergeCell ref="I5:J5"/>
    <mergeCell ref="K5:L5"/>
    <mergeCell ref="M5:N5"/>
    <mergeCell ref="G5:H5"/>
    <mergeCell ref="B19:D19"/>
    <mergeCell ref="F19:G19"/>
    <mergeCell ref="C7:N7"/>
    <mergeCell ref="F13:G13"/>
    <mergeCell ref="A14:N14"/>
    <mergeCell ref="B15:D15"/>
    <mergeCell ref="G6:H6"/>
    <mergeCell ref="G1:H1"/>
    <mergeCell ref="I1:J1"/>
    <mergeCell ref="K1:L1"/>
    <mergeCell ref="I2:J2"/>
    <mergeCell ref="G4:H4"/>
    <mergeCell ref="K2:L2"/>
    <mergeCell ref="G3:H3"/>
    <mergeCell ref="I4:J4"/>
    <mergeCell ref="K4:L4"/>
    <mergeCell ref="M4:N4"/>
    <mergeCell ref="G2:H2"/>
    <mergeCell ref="I3:J3"/>
    <mergeCell ref="K3:L3"/>
    <mergeCell ref="M3:N3"/>
    <mergeCell ref="M2:N2"/>
  </mergeCells>
  <phoneticPr fontId="0" type="noConversion"/>
  <dataValidations count="8">
    <dataValidation type="list" allowBlank="1" showInputMessage="1" showErrorMessage="1" sqref="M11 M33 M13 M15 M17 M19 M21 M23 M25 M27 M29 M31 M35" xr:uid="{F4784D39-40AB-4A0B-9F2B-89FEBD43E7EA}">
      <formula1>DoorColor</formula1>
    </dataValidation>
    <dataValidation type="list" allowBlank="1" showInputMessage="1" showErrorMessage="1" sqref="H11 H33 H13 H15 H17 H19 H21 H23 H25 H27 H29 H31 H35" xr:uid="{5455DBB2-8697-46E2-993E-117A0138E76C}">
      <formula1>Mullion</formula1>
    </dataValidation>
    <dataValidation type="list" allowBlank="1" showInputMessage="1" showErrorMessage="1" sqref="F11:G11 F33:G33 F13:G13 F15:G15 F17:G17 F19:G19 F21:G21 F23:G23 F25:G25 F27:G27 F29:G29 F31:G31 F35:G35" xr:uid="{1B13B908-FBC6-46EF-BFEB-CDA18199879A}">
      <formula1>Swing</formula1>
    </dataValidation>
    <dataValidation type="list" errorStyle="warning" allowBlank="1" showInputMessage="1" showErrorMessage="1" errorTitle="Unlisted" error="You have entered an unlisted item.  Please make sure the item entered is correct." sqref="B11:D11 B33:D33 B13:D13 B15:D15 B17:D17 B19:D19 B21:D21 B23:D23 B25:D25 B27:D27 B29:D29 B31:D31 B35:D35" xr:uid="{148A5829-AB91-4B15-BCBB-D26E0ED743D4}">
      <formula1>Doors</formula1>
    </dataValidation>
    <dataValidation type="list" allowBlank="1" showInputMessage="1" showErrorMessage="1" sqref="N11 N33 N13 N15 N17 N19 N21 N23 N25 N27 N29 N31 N35" xr:uid="{81E3D716-7D0F-44E0-9934-3BA48AB3BE7A}">
      <formula1>FrameSize</formula1>
    </dataValidation>
    <dataValidation type="list" errorStyle="warning" allowBlank="1" showInputMessage="1" showErrorMessage="1" errorTitle="Unlisted" error="You have entered an unlisted item.  Please make sure the item entered is correct." sqref="I11:K11 I13:K13 I15:K15 I17:K17 I19:K19 I21:K21 I23:K23 I25:K25 I27:K27 I29:K29 I31:K31 I33:K33 I35:K35" xr:uid="{AF06D090-5BC1-4284-A03E-D5C2281AFAE7}">
      <formula1>Locks</formula1>
    </dataValidation>
    <dataValidation type="list" errorStyle="warning" allowBlank="1" showInputMessage="1" showErrorMessage="1" errorTitle="Unlisted" error="You have entered an unlisted item.  Please make sure the item entered is correct." sqref="L11 L13 L15 L17 L19 L21 L23 L25 L27 L29 L31 L33 L35" xr:uid="{0DE14477-7BF8-44F0-9156-748071FB2034}">
      <formula1>Closer</formula1>
    </dataValidation>
    <dataValidation type="list" allowBlank="1" showInputMessage="1" sqref="E11 E13 E15 E17 E19 E21 E23 E25 E27 E29 E31 E33 E35" xr:uid="{1AC59075-6BBE-431C-8142-8434245553FC}">
      <formula1>Wind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1F05-3E27-4E86-9129-BCA01AF08DC3}">
  <sheetPr codeName="Sheet91"/>
  <dimension ref="A1:P39"/>
  <sheetViews>
    <sheetView workbookViewId="0"/>
  </sheetViews>
  <sheetFormatPr defaultRowHeight="13.2" x14ac:dyDescent="0.25"/>
  <cols>
    <col min="1" max="1" width="7.77734375" customWidth="1"/>
    <col min="2" max="2" width="11.77734375" customWidth="1"/>
    <col min="3" max="6" width="9.77734375" customWidth="1"/>
    <col min="7" max="7" width="11.77734375" customWidth="1"/>
    <col min="8" max="8" width="7.77734375" customWidth="1"/>
    <col min="9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279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189" t="s">
        <v>238</v>
      </c>
      <c r="B9" s="107" t="s">
        <v>239</v>
      </c>
      <c r="C9" s="421" t="s">
        <v>240</v>
      </c>
      <c r="D9" s="421"/>
      <c r="E9" s="421"/>
      <c r="F9" s="421"/>
      <c r="G9" s="417"/>
      <c r="H9" s="416" t="s">
        <v>1409</v>
      </c>
      <c r="I9" s="421"/>
      <c r="J9" s="416" t="s">
        <v>355</v>
      </c>
      <c r="K9" s="417"/>
      <c r="L9" s="207" t="s">
        <v>280</v>
      </c>
      <c r="M9" s="570" t="s">
        <v>356</v>
      </c>
      <c r="N9" s="571"/>
    </row>
    <row r="10" spans="1:16" ht="13.5" customHeight="1" x14ac:dyDescent="0.25">
      <c r="A10" s="162"/>
      <c r="B10" s="195"/>
      <c r="C10" s="535"/>
      <c r="D10" s="536"/>
      <c r="E10" s="536"/>
      <c r="F10" s="536"/>
      <c r="G10" s="537"/>
      <c r="H10" s="538"/>
      <c r="I10" s="538"/>
      <c r="J10" s="538"/>
      <c r="K10" s="538"/>
      <c r="L10" s="195"/>
      <c r="M10" s="529"/>
      <c r="N10" s="530"/>
    </row>
    <row r="11" spans="1:16" ht="13.5" customHeight="1" x14ac:dyDescent="0.25">
      <c r="A11" s="200" t="str">
        <f>"@Data"</f>
        <v>@Data</v>
      </c>
      <c r="B11" s="210"/>
      <c r="C11" s="562"/>
      <c r="D11" s="563"/>
      <c r="E11" s="563"/>
      <c r="F11" s="563"/>
      <c r="G11" s="564"/>
      <c r="H11" s="549"/>
      <c r="I11" s="549"/>
      <c r="J11" s="549"/>
      <c r="K11" s="549"/>
      <c r="L11" s="208"/>
      <c r="M11" s="549"/>
      <c r="N11" s="569"/>
    </row>
    <row r="12" spans="1:16" ht="13.5" customHeight="1" x14ac:dyDescent="0.25">
      <c r="A12" s="200"/>
      <c r="B12" s="210"/>
      <c r="C12" s="562"/>
      <c r="D12" s="563"/>
      <c r="E12" s="563"/>
      <c r="F12" s="563"/>
      <c r="G12" s="564"/>
      <c r="H12" s="549"/>
      <c r="I12" s="549"/>
      <c r="J12" s="549"/>
      <c r="K12" s="549"/>
      <c r="L12" s="208"/>
      <c r="M12" s="549"/>
      <c r="N12" s="569"/>
    </row>
    <row r="13" spans="1:16" ht="13.5" customHeight="1" x14ac:dyDescent="0.25">
      <c r="A13" s="200"/>
      <c r="B13" s="210"/>
      <c r="C13" s="562"/>
      <c r="D13" s="563"/>
      <c r="E13" s="563"/>
      <c r="F13" s="563"/>
      <c r="G13" s="564"/>
      <c r="H13" s="549"/>
      <c r="I13" s="549"/>
      <c r="J13" s="549"/>
      <c r="K13" s="549"/>
      <c r="L13" s="208"/>
      <c r="M13" s="549"/>
      <c r="N13" s="569"/>
    </row>
    <row r="14" spans="1:16" ht="13.5" customHeight="1" x14ac:dyDescent="0.25">
      <c r="A14" s="200"/>
      <c r="B14" s="210"/>
      <c r="C14" s="562"/>
      <c r="D14" s="563"/>
      <c r="E14" s="563"/>
      <c r="F14" s="563"/>
      <c r="G14" s="564"/>
      <c r="H14" s="549"/>
      <c r="I14" s="549"/>
      <c r="J14" s="549"/>
      <c r="K14" s="549"/>
      <c r="L14" s="208"/>
      <c r="M14" s="549"/>
      <c r="N14" s="569"/>
    </row>
    <row r="15" spans="1:16" ht="13.5" customHeight="1" x14ac:dyDescent="0.25">
      <c r="A15" s="200"/>
      <c r="B15" s="210"/>
      <c r="C15" s="562"/>
      <c r="D15" s="563"/>
      <c r="E15" s="563"/>
      <c r="F15" s="563"/>
      <c r="G15" s="564"/>
      <c r="H15" s="549"/>
      <c r="I15" s="549"/>
      <c r="J15" s="549"/>
      <c r="K15" s="549"/>
      <c r="L15" s="208"/>
      <c r="M15" s="549"/>
      <c r="N15" s="569"/>
    </row>
    <row r="16" spans="1:16" ht="13.5" customHeight="1" x14ac:dyDescent="0.25">
      <c r="A16" s="200"/>
      <c r="B16" s="210"/>
      <c r="C16" s="562"/>
      <c r="D16" s="563"/>
      <c r="E16" s="563"/>
      <c r="F16" s="563"/>
      <c r="G16" s="564"/>
      <c r="H16" s="549"/>
      <c r="I16" s="549"/>
      <c r="J16" s="549"/>
      <c r="K16" s="549"/>
      <c r="L16" s="208"/>
      <c r="M16" s="549"/>
      <c r="N16" s="569"/>
    </row>
    <row r="17" spans="1:14" ht="13.5" customHeight="1" x14ac:dyDescent="0.25">
      <c r="A17" s="200"/>
      <c r="B17" s="210"/>
      <c r="C17" s="562"/>
      <c r="D17" s="563"/>
      <c r="E17" s="563"/>
      <c r="F17" s="563"/>
      <c r="G17" s="564"/>
      <c r="H17" s="549"/>
      <c r="I17" s="549"/>
      <c r="J17" s="549"/>
      <c r="K17" s="549"/>
      <c r="L17" s="208"/>
      <c r="M17" s="549"/>
      <c r="N17" s="569"/>
    </row>
    <row r="18" spans="1:14" ht="13.5" customHeight="1" x14ac:dyDescent="0.25">
      <c r="A18" s="200"/>
      <c r="B18" s="210"/>
      <c r="C18" s="562"/>
      <c r="D18" s="563"/>
      <c r="E18" s="563"/>
      <c r="F18" s="563"/>
      <c r="G18" s="564"/>
      <c r="H18" s="549"/>
      <c r="I18" s="549"/>
      <c r="J18" s="549"/>
      <c r="K18" s="549"/>
      <c r="L18" s="208"/>
      <c r="M18" s="549"/>
      <c r="N18" s="569"/>
    </row>
    <row r="19" spans="1:14" ht="13.5" customHeight="1" x14ac:dyDescent="0.25">
      <c r="A19" s="200"/>
      <c r="B19" s="210"/>
      <c r="C19" s="562"/>
      <c r="D19" s="563"/>
      <c r="E19" s="563"/>
      <c r="F19" s="563"/>
      <c r="G19" s="564"/>
      <c r="H19" s="549"/>
      <c r="I19" s="549"/>
      <c r="J19" s="549"/>
      <c r="K19" s="549"/>
      <c r="L19" s="208"/>
      <c r="M19" s="549"/>
      <c r="N19" s="569"/>
    </row>
    <row r="20" spans="1:14" ht="13.5" customHeight="1" x14ac:dyDescent="0.25">
      <c r="A20" s="200"/>
      <c r="B20" s="210"/>
      <c r="C20" s="562"/>
      <c r="D20" s="563"/>
      <c r="E20" s="563"/>
      <c r="F20" s="563"/>
      <c r="G20" s="564"/>
      <c r="H20" s="549"/>
      <c r="I20" s="549"/>
      <c r="J20" s="549"/>
      <c r="K20" s="549"/>
      <c r="L20" s="208"/>
      <c r="M20" s="549"/>
      <c r="N20" s="569"/>
    </row>
    <row r="21" spans="1:14" s="2" customFormat="1" ht="13.5" customHeight="1" x14ac:dyDescent="0.25">
      <c r="A21" s="200"/>
      <c r="B21" s="210"/>
      <c r="C21" s="562"/>
      <c r="D21" s="563"/>
      <c r="E21" s="563"/>
      <c r="F21" s="563"/>
      <c r="G21" s="564"/>
      <c r="H21" s="549"/>
      <c r="I21" s="549"/>
      <c r="J21" s="549"/>
      <c r="K21" s="549"/>
      <c r="L21" s="208"/>
      <c r="M21" s="549"/>
      <c r="N21" s="569"/>
    </row>
    <row r="22" spans="1:14" ht="13.5" customHeight="1" x14ac:dyDescent="0.25">
      <c r="A22" s="200"/>
      <c r="B22" s="210"/>
      <c r="C22" s="562"/>
      <c r="D22" s="563"/>
      <c r="E22" s="563"/>
      <c r="F22" s="563"/>
      <c r="G22" s="564"/>
      <c r="H22" s="549"/>
      <c r="I22" s="549"/>
      <c r="J22" s="549"/>
      <c r="K22" s="549"/>
      <c r="L22" s="208"/>
      <c r="M22" s="549"/>
      <c r="N22" s="569"/>
    </row>
    <row r="23" spans="1:14" ht="13.5" customHeight="1" x14ac:dyDescent="0.25">
      <c r="A23" s="200"/>
      <c r="B23" s="210"/>
      <c r="C23" s="562"/>
      <c r="D23" s="563"/>
      <c r="E23" s="563"/>
      <c r="F23" s="563"/>
      <c r="G23" s="564"/>
      <c r="H23" s="549"/>
      <c r="I23" s="549"/>
      <c r="J23" s="549"/>
      <c r="K23" s="549"/>
      <c r="L23" s="208"/>
      <c r="M23" s="549"/>
      <c r="N23" s="569"/>
    </row>
    <row r="24" spans="1:14" ht="13.5" customHeight="1" x14ac:dyDescent="0.25">
      <c r="A24" s="200"/>
      <c r="B24" s="210"/>
      <c r="C24" s="562"/>
      <c r="D24" s="563"/>
      <c r="E24" s="563"/>
      <c r="F24" s="563"/>
      <c r="G24" s="564"/>
      <c r="H24" s="549"/>
      <c r="I24" s="549"/>
      <c r="J24" s="549"/>
      <c r="K24" s="549"/>
      <c r="L24" s="208"/>
      <c r="M24" s="549"/>
      <c r="N24" s="569"/>
    </row>
    <row r="25" spans="1:14" ht="13.5" customHeight="1" x14ac:dyDescent="0.25">
      <c r="A25" s="200"/>
      <c r="B25" s="210"/>
      <c r="C25" s="562"/>
      <c r="D25" s="563"/>
      <c r="E25" s="563"/>
      <c r="F25" s="563"/>
      <c r="G25" s="564"/>
      <c r="H25" s="549"/>
      <c r="I25" s="549"/>
      <c r="J25" s="549"/>
      <c r="K25" s="549"/>
      <c r="L25" s="208"/>
      <c r="M25" s="549"/>
      <c r="N25" s="569"/>
    </row>
    <row r="26" spans="1:14" ht="13.5" customHeight="1" x14ac:dyDescent="0.25">
      <c r="A26" s="200"/>
      <c r="B26" s="210"/>
      <c r="C26" s="562"/>
      <c r="D26" s="563"/>
      <c r="E26" s="563"/>
      <c r="F26" s="563"/>
      <c r="G26" s="564"/>
      <c r="H26" s="549"/>
      <c r="I26" s="549"/>
      <c r="J26" s="549"/>
      <c r="K26" s="549"/>
      <c r="L26" s="208"/>
      <c r="M26" s="549"/>
      <c r="N26" s="569"/>
    </row>
    <row r="27" spans="1:14" ht="13.5" customHeight="1" x14ac:dyDescent="0.25">
      <c r="A27" s="200"/>
      <c r="B27" s="210"/>
      <c r="C27" s="562"/>
      <c r="D27" s="563"/>
      <c r="E27" s="563"/>
      <c r="F27" s="563"/>
      <c r="G27" s="564"/>
      <c r="H27" s="549"/>
      <c r="I27" s="549"/>
      <c r="J27" s="549"/>
      <c r="K27" s="549"/>
      <c r="L27" s="208"/>
      <c r="M27" s="549"/>
      <c r="N27" s="569"/>
    </row>
    <row r="28" spans="1:14" ht="13.5" customHeight="1" x14ac:dyDescent="0.25">
      <c r="A28" s="200"/>
      <c r="B28" s="210"/>
      <c r="C28" s="562"/>
      <c r="D28" s="563"/>
      <c r="E28" s="563"/>
      <c r="F28" s="563"/>
      <c r="G28" s="564"/>
      <c r="H28" s="549"/>
      <c r="I28" s="549"/>
      <c r="J28" s="549"/>
      <c r="K28" s="549"/>
      <c r="L28" s="208"/>
      <c r="M28" s="549"/>
      <c r="N28" s="569"/>
    </row>
    <row r="29" spans="1:14" ht="13.5" customHeight="1" x14ac:dyDescent="0.25">
      <c r="A29" s="200"/>
      <c r="B29" s="210"/>
      <c r="C29" s="562"/>
      <c r="D29" s="563"/>
      <c r="E29" s="563"/>
      <c r="F29" s="563"/>
      <c r="G29" s="564"/>
      <c r="H29" s="549"/>
      <c r="I29" s="549"/>
      <c r="J29" s="549"/>
      <c r="K29" s="549"/>
      <c r="L29" s="208"/>
      <c r="M29" s="549"/>
      <c r="N29" s="569"/>
    </row>
    <row r="30" spans="1:14" ht="13.5" customHeight="1" x14ac:dyDescent="0.25">
      <c r="A30" s="200"/>
      <c r="B30" s="210"/>
      <c r="C30" s="562"/>
      <c r="D30" s="563"/>
      <c r="E30" s="563"/>
      <c r="F30" s="563"/>
      <c r="G30" s="564"/>
      <c r="H30" s="549"/>
      <c r="I30" s="549"/>
      <c r="J30" s="549"/>
      <c r="K30" s="549"/>
      <c r="L30" s="208"/>
      <c r="M30" s="549"/>
      <c r="N30" s="569"/>
    </row>
    <row r="31" spans="1:14" ht="13.5" customHeight="1" x14ac:dyDescent="0.25">
      <c r="A31" s="200"/>
      <c r="B31" s="210"/>
      <c r="C31" s="562"/>
      <c r="D31" s="563"/>
      <c r="E31" s="563"/>
      <c r="F31" s="563"/>
      <c r="G31" s="564"/>
      <c r="H31" s="549"/>
      <c r="I31" s="549"/>
      <c r="J31" s="549"/>
      <c r="K31" s="549"/>
      <c r="L31" s="208"/>
      <c r="M31" s="549"/>
      <c r="N31" s="569"/>
    </row>
    <row r="32" spans="1:14" ht="13.5" customHeight="1" x14ac:dyDescent="0.25">
      <c r="A32" s="200"/>
      <c r="B32" s="210"/>
      <c r="C32" s="562"/>
      <c r="D32" s="563"/>
      <c r="E32" s="563"/>
      <c r="F32" s="563"/>
      <c r="G32" s="564"/>
      <c r="H32" s="549"/>
      <c r="I32" s="549"/>
      <c r="J32" s="549"/>
      <c r="K32" s="549"/>
      <c r="L32" s="208"/>
      <c r="M32" s="549"/>
      <c r="N32" s="569"/>
    </row>
    <row r="33" spans="1:14" ht="13.5" customHeight="1" x14ac:dyDescent="0.25">
      <c r="A33" s="200"/>
      <c r="B33" s="210"/>
      <c r="C33" s="562"/>
      <c r="D33" s="563"/>
      <c r="E33" s="563"/>
      <c r="F33" s="563"/>
      <c r="G33" s="564"/>
      <c r="H33" s="549"/>
      <c r="I33" s="549"/>
      <c r="J33" s="549"/>
      <c r="K33" s="549"/>
      <c r="L33" s="208"/>
      <c r="M33" s="549"/>
      <c r="N33" s="569"/>
    </row>
    <row r="34" spans="1:14" ht="13.5" customHeight="1" x14ac:dyDescent="0.25">
      <c r="A34" s="200"/>
      <c r="B34" s="210"/>
      <c r="C34" s="562"/>
      <c r="D34" s="563"/>
      <c r="E34" s="563"/>
      <c r="F34" s="563"/>
      <c r="G34" s="564"/>
      <c r="H34" s="549"/>
      <c r="I34" s="549"/>
      <c r="J34" s="549"/>
      <c r="K34" s="549"/>
      <c r="L34" s="208"/>
      <c r="M34" s="549"/>
      <c r="N34" s="569"/>
    </row>
    <row r="35" spans="1:14" ht="13.5" customHeight="1" x14ac:dyDescent="0.25">
      <c r="A35" s="200"/>
      <c r="B35" s="210"/>
      <c r="C35" s="562"/>
      <c r="D35" s="563"/>
      <c r="E35" s="563"/>
      <c r="F35" s="563"/>
      <c r="G35" s="564"/>
      <c r="H35" s="549"/>
      <c r="I35" s="549"/>
      <c r="J35" s="549"/>
      <c r="K35" s="549"/>
      <c r="L35" s="208"/>
      <c r="M35" s="549"/>
      <c r="N35" s="569"/>
    </row>
    <row r="36" spans="1:14" ht="13.5" customHeight="1" x14ac:dyDescent="0.25">
      <c r="A36" s="200"/>
      <c r="B36" s="210"/>
      <c r="C36" s="562"/>
      <c r="D36" s="563"/>
      <c r="E36" s="563"/>
      <c r="F36" s="563"/>
      <c r="G36" s="564"/>
      <c r="H36" s="549"/>
      <c r="I36" s="549"/>
      <c r="J36" s="549"/>
      <c r="K36" s="549"/>
      <c r="L36" s="208"/>
      <c r="M36" s="549"/>
      <c r="N36" s="569"/>
    </row>
    <row r="37" spans="1:14" ht="13.5" customHeight="1" thickBot="1" x14ac:dyDescent="0.3">
      <c r="A37" s="204"/>
      <c r="B37" s="211"/>
      <c r="C37" s="566"/>
      <c r="D37" s="567"/>
      <c r="E37" s="567"/>
      <c r="F37" s="567"/>
      <c r="G37" s="568"/>
      <c r="H37" s="565"/>
      <c r="I37" s="565"/>
      <c r="J37" s="565"/>
      <c r="K37" s="565"/>
      <c r="L37" s="209"/>
      <c r="M37" s="565"/>
      <c r="N37" s="572"/>
    </row>
    <row r="38" spans="1:14" ht="13.5" customHeight="1" x14ac:dyDescent="0.25"/>
    <row r="39" spans="1:14" ht="13.5" customHeight="1" x14ac:dyDescent="0.25">
      <c r="I39" s="68"/>
      <c r="J39" s="68"/>
      <c r="K39" s="403"/>
      <c r="L39" s="403"/>
      <c r="M39" s="452"/>
      <c r="N39" s="452"/>
    </row>
  </sheetData>
  <mergeCells count="142">
    <mergeCell ref="M32:N32"/>
    <mergeCell ref="M29:N29"/>
    <mergeCell ref="M31:N31"/>
    <mergeCell ref="H27:I27"/>
    <mergeCell ref="J27:K27"/>
    <mergeCell ref="J28:K28"/>
    <mergeCell ref="J30:K30"/>
    <mergeCell ref="H32:I32"/>
    <mergeCell ref="J31:K31"/>
    <mergeCell ref="J29:K29"/>
    <mergeCell ref="M17:N17"/>
    <mergeCell ref="M19:N19"/>
    <mergeCell ref="M39:N39"/>
    <mergeCell ref="M20:N20"/>
    <mergeCell ref="M21:N21"/>
    <mergeCell ref="M18:N18"/>
    <mergeCell ref="M26:N26"/>
    <mergeCell ref="M36:N36"/>
    <mergeCell ref="M30:N30"/>
    <mergeCell ref="M33:N33"/>
    <mergeCell ref="K39:L39"/>
    <mergeCell ref="M23:N23"/>
    <mergeCell ref="M24:N24"/>
    <mergeCell ref="M22:N22"/>
    <mergeCell ref="M25:N25"/>
    <mergeCell ref="M34:N34"/>
    <mergeCell ref="M37:N37"/>
    <mergeCell ref="M27:N27"/>
    <mergeCell ref="M28:N28"/>
    <mergeCell ref="M35:N35"/>
    <mergeCell ref="M2:N2"/>
    <mergeCell ref="G3:H3"/>
    <mergeCell ref="C13:G13"/>
    <mergeCell ref="M11:N11"/>
    <mergeCell ref="J11:K11"/>
    <mergeCell ref="H13:I13"/>
    <mergeCell ref="J13:K13"/>
    <mergeCell ref="C12:G12"/>
    <mergeCell ref="J12:K12"/>
    <mergeCell ref="M12:N12"/>
    <mergeCell ref="J16:K16"/>
    <mergeCell ref="H14:I14"/>
    <mergeCell ref="M16:N16"/>
    <mergeCell ref="J15:K15"/>
    <mergeCell ref="J14:K14"/>
    <mergeCell ref="H16:I16"/>
    <mergeCell ref="M15:N15"/>
    <mergeCell ref="G1:H1"/>
    <mergeCell ref="I1:J1"/>
    <mergeCell ref="K1:L1"/>
    <mergeCell ref="I2:J2"/>
    <mergeCell ref="K2:L2"/>
    <mergeCell ref="G2:H2"/>
    <mergeCell ref="A7:B7"/>
    <mergeCell ref="C7:N7"/>
    <mergeCell ref="M10:N10"/>
    <mergeCell ref="C10:G10"/>
    <mergeCell ref="A8:N8"/>
    <mergeCell ref="M9:N9"/>
    <mergeCell ref="H10:I10"/>
    <mergeCell ref="J10:K10"/>
    <mergeCell ref="C9:G9"/>
    <mergeCell ref="J9:K9"/>
    <mergeCell ref="M3:N3"/>
    <mergeCell ref="G5:H5"/>
    <mergeCell ref="I5:J5"/>
    <mergeCell ref="I4:J4"/>
    <mergeCell ref="K4:L4"/>
    <mergeCell ref="M4:N4"/>
    <mergeCell ref="K5:L5"/>
    <mergeCell ref="M5:N5"/>
    <mergeCell ref="I3:J3"/>
    <mergeCell ref="K3:L3"/>
    <mergeCell ref="G4:H4"/>
    <mergeCell ref="I6:N6"/>
    <mergeCell ref="H12:I12"/>
    <mergeCell ref="C14:G14"/>
    <mergeCell ref="M13:N13"/>
    <mergeCell ref="M14:N14"/>
    <mergeCell ref="G6:H6"/>
    <mergeCell ref="C11:G11"/>
    <mergeCell ref="H11:I11"/>
    <mergeCell ref="H9:I9"/>
    <mergeCell ref="C15:G15"/>
    <mergeCell ref="H15:I15"/>
    <mergeCell ref="C19:G19"/>
    <mergeCell ref="H19:I19"/>
    <mergeCell ref="C18:G18"/>
    <mergeCell ref="H18:I18"/>
    <mergeCell ref="C16:G16"/>
    <mergeCell ref="C17:G17"/>
    <mergeCell ref="H17:I17"/>
    <mergeCell ref="J18:K18"/>
    <mergeCell ref="J17:K17"/>
    <mergeCell ref="J19:K19"/>
    <mergeCell ref="C20:G20"/>
    <mergeCell ref="H20:I20"/>
    <mergeCell ref="J20:K20"/>
    <mergeCell ref="C22:G22"/>
    <mergeCell ref="H22:I22"/>
    <mergeCell ref="J22:K22"/>
    <mergeCell ref="C21:G21"/>
    <mergeCell ref="H21:I21"/>
    <mergeCell ref="J21:K21"/>
    <mergeCell ref="C23:G23"/>
    <mergeCell ref="H23:I23"/>
    <mergeCell ref="J23:K23"/>
    <mergeCell ref="C24:G24"/>
    <mergeCell ref="C30:G30"/>
    <mergeCell ref="H30:I30"/>
    <mergeCell ref="C28:G28"/>
    <mergeCell ref="H28:I28"/>
    <mergeCell ref="C29:G29"/>
    <mergeCell ref="H29:I29"/>
    <mergeCell ref="J26:K26"/>
    <mergeCell ref="C27:G27"/>
    <mergeCell ref="J24:K24"/>
    <mergeCell ref="H24:I24"/>
    <mergeCell ref="C25:G25"/>
    <mergeCell ref="H25:I25"/>
    <mergeCell ref="J25:K25"/>
    <mergeCell ref="C26:G26"/>
    <mergeCell ref="H26:I26"/>
    <mergeCell ref="C31:G31"/>
    <mergeCell ref="H31:I31"/>
    <mergeCell ref="C37:G37"/>
    <mergeCell ref="H37:I37"/>
    <mergeCell ref="C34:G34"/>
    <mergeCell ref="H34:I34"/>
    <mergeCell ref="J37:K37"/>
    <mergeCell ref="C35:G35"/>
    <mergeCell ref="H35:I35"/>
    <mergeCell ref="H36:I36"/>
    <mergeCell ref="C36:G36"/>
    <mergeCell ref="J36:K36"/>
    <mergeCell ref="J35:K35"/>
    <mergeCell ref="J34:K34"/>
    <mergeCell ref="C32:G32"/>
    <mergeCell ref="J32:K32"/>
    <mergeCell ref="H33:I33"/>
    <mergeCell ref="J33:K33"/>
    <mergeCell ref="C33:G33"/>
  </mergeCells>
  <phoneticPr fontId="0" type="noConversion"/>
  <dataValidations count="6">
    <dataValidation type="list" errorStyle="warning" allowBlank="1" showInputMessage="1" showErrorMessage="1" errorTitle="Unlisted" error="You have entered an unlisted item.  Please make sure the item entered is correct." sqref="C11:G37" xr:uid="{240F3B22-5C40-4A66-B570-DA351DA06144}">
      <formula1>Windows</formula1>
    </dataValidation>
    <dataValidation type="list" allowBlank="1" showInputMessage="1" showErrorMessage="1" sqref="J11:K37" xr:uid="{5B04A8C9-547A-4480-B320-4FC26921D264}">
      <formula1>Frame</formula1>
    </dataValidation>
    <dataValidation type="list" allowBlank="1" showInputMessage="1" showErrorMessage="1" sqref="H11:I37" xr:uid="{22205816-E4EE-4EA4-832E-667E4B94F439}">
      <formula1>Glass</formula1>
    </dataValidation>
    <dataValidation type="list" allowBlank="1" showInputMessage="1" showErrorMessage="1" sqref="L11:L37" xr:uid="{3F59441D-668A-4E20-BAC1-3979869AB237}">
      <formula1>FinType</formula1>
    </dataValidation>
    <dataValidation type="list" allowBlank="1" showInputMessage="1" showErrorMessage="1" sqref="M11:N37" xr:uid="{679B4A99-34E0-4DC0-942B-61BA83D251FC}">
      <formula1>FinTrim</formula1>
    </dataValidation>
    <dataValidation type="list" errorStyle="warning" allowBlank="1" showInputMessage="1" showErrorMessage="1" errorTitle="Unlisted" error="You have entered an unlisted item.  Please make sure the item entered is correct." sqref="B11:B37" xr:uid="{7A55D1FD-8673-4B6C-A6A0-1F0214EC28EA}">
      <formula1>WindowMark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C165-7B7E-4AC4-802F-4D59CBB51E25}">
  <sheetPr codeName="Sheet92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324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18" customHeight="1" thickBot="1" x14ac:dyDescent="0.3">
      <c r="A9" s="573" t="s">
        <v>238</v>
      </c>
      <c r="B9" s="526" t="s">
        <v>240</v>
      </c>
      <c r="C9" s="528"/>
      <c r="D9" s="528"/>
      <c r="E9" s="527"/>
      <c r="F9" s="577" t="s">
        <v>273</v>
      </c>
      <c r="G9" s="570" t="s">
        <v>242</v>
      </c>
      <c r="H9" s="571"/>
      <c r="I9" s="577" t="s">
        <v>358</v>
      </c>
      <c r="J9" s="421" t="s">
        <v>672</v>
      </c>
      <c r="K9" s="421"/>
      <c r="L9" s="421"/>
      <c r="M9" s="421"/>
      <c r="N9" s="417"/>
    </row>
    <row r="10" spans="1:16" ht="18" customHeight="1" thickBot="1" x14ac:dyDescent="0.3">
      <c r="A10" s="574"/>
      <c r="B10" s="579"/>
      <c r="C10" s="580"/>
      <c r="D10" s="580"/>
      <c r="E10" s="581"/>
      <c r="F10" s="578"/>
      <c r="G10" s="575"/>
      <c r="H10" s="576"/>
      <c r="I10" s="578"/>
      <c r="J10" s="416" t="s">
        <v>325</v>
      </c>
      <c r="K10" s="417"/>
      <c r="L10" s="421" t="s">
        <v>326</v>
      </c>
      <c r="M10" s="417"/>
      <c r="N10" s="38" t="s">
        <v>357</v>
      </c>
    </row>
    <row r="11" spans="1:16" ht="13.5" customHeight="1" x14ac:dyDescent="0.25">
      <c r="A11" s="196"/>
      <c r="B11" s="538"/>
      <c r="C11" s="538"/>
      <c r="D11" s="538"/>
      <c r="E11" s="538"/>
      <c r="F11" s="108"/>
      <c r="G11" s="539"/>
      <c r="H11" s="539"/>
      <c r="I11" s="108"/>
      <c r="J11" s="539"/>
      <c r="K11" s="539"/>
      <c r="L11" s="539"/>
      <c r="M11" s="539"/>
      <c r="N11" s="197"/>
    </row>
    <row r="12" spans="1:16" ht="13.5" customHeight="1" x14ac:dyDescent="0.25">
      <c r="A12" s="142" t="str">
        <f>"@Data"</f>
        <v>@Data</v>
      </c>
      <c r="B12" s="405"/>
      <c r="C12" s="405"/>
      <c r="D12" s="405"/>
      <c r="E12" s="405"/>
      <c r="F12" s="187"/>
      <c r="G12" s="406"/>
      <c r="H12" s="406"/>
      <c r="I12" s="187"/>
      <c r="J12" s="406"/>
      <c r="K12" s="406"/>
      <c r="L12" s="406"/>
      <c r="M12" s="406"/>
      <c r="N12" s="158"/>
    </row>
    <row r="13" spans="1:16" ht="13.5" customHeight="1" x14ac:dyDescent="0.25">
      <c r="A13" s="142"/>
      <c r="B13" s="405"/>
      <c r="C13" s="405"/>
      <c r="D13" s="405"/>
      <c r="E13" s="405"/>
      <c r="F13" s="172"/>
      <c r="G13" s="406"/>
      <c r="H13" s="406"/>
      <c r="I13" s="187"/>
      <c r="J13" s="406"/>
      <c r="K13" s="406"/>
      <c r="L13" s="406"/>
      <c r="M13" s="406"/>
      <c r="N13" s="158"/>
    </row>
    <row r="14" spans="1:16" ht="13.5" customHeight="1" x14ac:dyDescent="0.25">
      <c r="A14" s="142"/>
      <c r="B14" s="405"/>
      <c r="C14" s="405"/>
      <c r="D14" s="405"/>
      <c r="E14" s="405"/>
      <c r="F14" s="172"/>
      <c r="G14" s="406"/>
      <c r="H14" s="406"/>
      <c r="I14" s="187"/>
      <c r="J14" s="406"/>
      <c r="K14" s="406"/>
      <c r="L14" s="406"/>
      <c r="M14" s="406"/>
      <c r="N14" s="158"/>
    </row>
    <row r="15" spans="1:16" ht="13.5" customHeight="1" x14ac:dyDescent="0.25">
      <c r="A15" s="142"/>
      <c r="B15" s="405"/>
      <c r="C15" s="405"/>
      <c r="D15" s="405"/>
      <c r="E15" s="405"/>
      <c r="F15" s="172"/>
      <c r="G15" s="406"/>
      <c r="H15" s="406"/>
      <c r="I15" s="187"/>
      <c r="J15" s="406"/>
      <c r="K15" s="406"/>
      <c r="L15" s="406"/>
      <c r="M15" s="406"/>
      <c r="N15" s="158"/>
    </row>
    <row r="16" spans="1:16" ht="13.5" customHeight="1" x14ac:dyDescent="0.25">
      <c r="A16" s="142"/>
      <c r="B16" s="405"/>
      <c r="C16" s="405"/>
      <c r="D16" s="405"/>
      <c r="E16" s="405"/>
      <c r="F16" s="172"/>
      <c r="G16" s="406"/>
      <c r="H16" s="406"/>
      <c r="I16" s="187"/>
      <c r="J16" s="406"/>
      <c r="K16" s="406"/>
      <c r="L16" s="406"/>
      <c r="M16" s="406"/>
      <c r="N16" s="158"/>
    </row>
    <row r="17" spans="1:14" ht="13.5" customHeight="1" x14ac:dyDescent="0.25">
      <c r="A17" s="142"/>
      <c r="B17" s="405"/>
      <c r="C17" s="405"/>
      <c r="D17" s="405"/>
      <c r="E17" s="405"/>
      <c r="F17" s="172"/>
      <c r="G17" s="406"/>
      <c r="H17" s="406"/>
      <c r="I17" s="187"/>
      <c r="J17" s="406"/>
      <c r="K17" s="406"/>
      <c r="L17" s="406"/>
      <c r="M17" s="406"/>
      <c r="N17" s="158"/>
    </row>
    <row r="18" spans="1:14" ht="13.5" customHeight="1" x14ac:dyDescent="0.25">
      <c r="A18" s="142"/>
      <c r="B18" s="405"/>
      <c r="C18" s="405"/>
      <c r="D18" s="405"/>
      <c r="E18" s="405"/>
      <c r="F18" s="172"/>
      <c r="G18" s="406"/>
      <c r="H18" s="406"/>
      <c r="I18" s="187"/>
      <c r="J18" s="406"/>
      <c r="K18" s="406"/>
      <c r="L18" s="406"/>
      <c r="M18" s="406"/>
      <c r="N18" s="158"/>
    </row>
    <row r="19" spans="1:14" ht="13.5" customHeight="1" x14ac:dyDescent="0.25">
      <c r="A19" s="142"/>
      <c r="B19" s="405"/>
      <c r="C19" s="405"/>
      <c r="D19" s="405"/>
      <c r="E19" s="405"/>
      <c r="F19" s="172"/>
      <c r="G19" s="406"/>
      <c r="H19" s="406"/>
      <c r="I19" s="187"/>
      <c r="J19" s="406"/>
      <c r="K19" s="406"/>
      <c r="L19" s="406"/>
      <c r="M19" s="406"/>
      <c r="N19" s="158"/>
    </row>
    <row r="20" spans="1:14" ht="13.5" customHeight="1" x14ac:dyDescent="0.25">
      <c r="A20" s="142"/>
      <c r="B20" s="405"/>
      <c r="C20" s="405"/>
      <c r="D20" s="405"/>
      <c r="E20" s="405"/>
      <c r="F20" s="172"/>
      <c r="G20" s="406"/>
      <c r="H20" s="406"/>
      <c r="I20" s="187"/>
      <c r="J20" s="406"/>
      <c r="K20" s="406"/>
      <c r="L20" s="406"/>
      <c r="M20" s="406"/>
      <c r="N20" s="158"/>
    </row>
    <row r="21" spans="1:14" s="2" customFormat="1" ht="13.5" customHeight="1" x14ac:dyDescent="0.25">
      <c r="A21" s="142"/>
      <c r="B21" s="405"/>
      <c r="C21" s="405"/>
      <c r="D21" s="405"/>
      <c r="E21" s="405"/>
      <c r="F21" s="172"/>
      <c r="G21" s="406"/>
      <c r="H21" s="406"/>
      <c r="I21" s="187"/>
      <c r="J21" s="406"/>
      <c r="K21" s="406"/>
      <c r="L21" s="406"/>
      <c r="M21" s="406"/>
      <c r="N21" s="158"/>
    </row>
    <row r="22" spans="1:14" ht="13.5" customHeight="1" x14ac:dyDescent="0.25">
      <c r="A22" s="142"/>
      <c r="B22" s="405"/>
      <c r="C22" s="405"/>
      <c r="D22" s="405"/>
      <c r="E22" s="405"/>
      <c r="F22" s="172"/>
      <c r="G22" s="406"/>
      <c r="H22" s="406"/>
      <c r="I22" s="187"/>
      <c r="J22" s="406"/>
      <c r="K22" s="406"/>
      <c r="L22" s="406"/>
      <c r="M22" s="406"/>
      <c r="N22" s="158"/>
    </row>
    <row r="23" spans="1:14" ht="13.5" customHeight="1" x14ac:dyDescent="0.25">
      <c r="A23" s="142"/>
      <c r="B23" s="405"/>
      <c r="C23" s="405"/>
      <c r="D23" s="405"/>
      <c r="E23" s="405"/>
      <c r="F23" s="172"/>
      <c r="G23" s="406"/>
      <c r="H23" s="406"/>
      <c r="I23" s="187"/>
      <c r="J23" s="406"/>
      <c r="K23" s="406"/>
      <c r="L23" s="406"/>
      <c r="M23" s="406"/>
      <c r="N23" s="158"/>
    </row>
    <row r="24" spans="1:14" ht="13.5" customHeight="1" x14ac:dyDescent="0.25">
      <c r="A24" s="142"/>
      <c r="B24" s="405"/>
      <c r="C24" s="405"/>
      <c r="D24" s="405"/>
      <c r="E24" s="405"/>
      <c r="F24" s="172"/>
      <c r="G24" s="406"/>
      <c r="H24" s="406"/>
      <c r="I24" s="187"/>
      <c r="J24" s="406"/>
      <c r="K24" s="406"/>
      <c r="L24" s="406"/>
      <c r="M24" s="406"/>
      <c r="N24" s="158"/>
    </row>
    <row r="25" spans="1:14" ht="13.5" customHeight="1" x14ac:dyDescent="0.25">
      <c r="A25" s="142"/>
      <c r="B25" s="405"/>
      <c r="C25" s="405"/>
      <c r="D25" s="405"/>
      <c r="E25" s="405"/>
      <c r="F25" s="172"/>
      <c r="G25" s="406"/>
      <c r="H25" s="406"/>
      <c r="I25" s="187"/>
      <c r="J25" s="406"/>
      <c r="K25" s="406"/>
      <c r="L25" s="406"/>
      <c r="M25" s="406"/>
      <c r="N25" s="158"/>
    </row>
    <row r="26" spans="1:14" ht="13.5" customHeight="1" x14ac:dyDescent="0.25">
      <c r="A26" s="142"/>
      <c r="B26" s="405"/>
      <c r="C26" s="405"/>
      <c r="D26" s="405"/>
      <c r="E26" s="405"/>
      <c r="F26" s="172"/>
      <c r="G26" s="406"/>
      <c r="H26" s="406"/>
      <c r="I26" s="187"/>
      <c r="J26" s="406"/>
      <c r="K26" s="406"/>
      <c r="L26" s="406"/>
      <c r="M26" s="406"/>
      <c r="N26" s="158"/>
    </row>
    <row r="27" spans="1:14" ht="13.5" customHeight="1" x14ac:dyDescent="0.25">
      <c r="A27" s="142"/>
      <c r="B27" s="405"/>
      <c r="C27" s="405"/>
      <c r="D27" s="405"/>
      <c r="E27" s="405"/>
      <c r="F27" s="172"/>
      <c r="G27" s="406"/>
      <c r="H27" s="406"/>
      <c r="I27" s="187"/>
      <c r="J27" s="406"/>
      <c r="K27" s="406"/>
      <c r="L27" s="406"/>
      <c r="M27" s="406"/>
      <c r="N27" s="158"/>
    </row>
    <row r="28" spans="1:14" ht="13.5" customHeight="1" x14ac:dyDescent="0.25">
      <c r="A28" s="142"/>
      <c r="B28" s="405"/>
      <c r="C28" s="405"/>
      <c r="D28" s="405"/>
      <c r="E28" s="405"/>
      <c r="F28" s="172"/>
      <c r="G28" s="406"/>
      <c r="H28" s="406"/>
      <c r="I28" s="187"/>
      <c r="J28" s="406"/>
      <c r="K28" s="406"/>
      <c r="L28" s="406"/>
      <c r="M28" s="406"/>
      <c r="N28" s="158"/>
    </row>
    <row r="29" spans="1:14" ht="13.5" customHeight="1" x14ac:dyDescent="0.25">
      <c r="A29" s="142"/>
      <c r="B29" s="405"/>
      <c r="C29" s="405"/>
      <c r="D29" s="405"/>
      <c r="E29" s="405"/>
      <c r="F29" s="172"/>
      <c r="G29" s="406"/>
      <c r="H29" s="406"/>
      <c r="I29" s="187"/>
      <c r="J29" s="406"/>
      <c r="K29" s="406"/>
      <c r="L29" s="406"/>
      <c r="M29" s="406"/>
      <c r="N29" s="158"/>
    </row>
    <row r="30" spans="1:14" ht="13.5" customHeight="1" x14ac:dyDescent="0.25">
      <c r="A30" s="142"/>
      <c r="B30" s="405"/>
      <c r="C30" s="405"/>
      <c r="D30" s="405"/>
      <c r="E30" s="405"/>
      <c r="F30" s="172"/>
      <c r="G30" s="406"/>
      <c r="H30" s="406"/>
      <c r="I30" s="187"/>
      <c r="J30" s="406"/>
      <c r="K30" s="406"/>
      <c r="L30" s="406"/>
      <c r="M30" s="406"/>
      <c r="N30" s="158"/>
    </row>
    <row r="31" spans="1:14" ht="13.5" customHeight="1" x14ac:dyDescent="0.25">
      <c r="A31" s="142"/>
      <c r="B31" s="405"/>
      <c r="C31" s="405"/>
      <c r="D31" s="405"/>
      <c r="E31" s="405"/>
      <c r="F31" s="172"/>
      <c r="G31" s="406"/>
      <c r="H31" s="406"/>
      <c r="I31" s="187"/>
      <c r="J31" s="406"/>
      <c r="K31" s="406"/>
      <c r="L31" s="406"/>
      <c r="M31" s="406"/>
      <c r="N31" s="158"/>
    </row>
    <row r="32" spans="1:14" ht="13.5" customHeight="1" x14ac:dyDescent="0.25">
      <c r="A32" s="142"/>
      <c r="B32" s="405"/>
      <c r="C32" s="405"/>
      <c r="D32" s="405"/>
      <c r="E32" s="405"/>
      <c r="F32" s="172"/>
      <c r="G32" s="406"/>
      <c r="H32" s="406"/>
      <c r="I32" s="187"/>
      <c r="J32" s="406"/>
      <c r="K32" s="406"/>
      <c r="L32" s="406"/>
      <c r="M32" s="406"/>
      <c r="N32" s="158"/>
    </row>
    <row r="33" spans="1:14" ht="13.5" customHeight="1" x14ac:dyDescent="0.25">
      <c r="A33" s="142"/>
      <c r="B33" s="405"/>
      <c r="C33" s="405"/>
      <c r="D33" s="405"/>
      <c r="E33" s="405"/>
      <c r="F33" s="172"/>
      <c r="G33" s="406"/>
      <c r="H33" s="406"/>
      <c r="I33" s="187"/>
      <c r="J33" s="406"/>
      <c r="K33" s="406"/>
      <c r="L33" s="406"/>
      <c r="M33" s="406"/>
      <c r="N33" s="158"/>
    </row>
    <row r="34" spans="1:14" ht="13.5" customHeight="1" x14ac:dyDescent="0.25">
      <c r="A34" s="142"/>
      <c r="B34" s="405"/>
      <c r="C34" s="405"/>
      <c r="D34" s="405"/>
      <c r="E34" s="405"/>
      <c r="F34" s="172"/>
      <c r="G34" s="406"/>
      <c r="H34" s="406"/>
      <c r="I34" s="187"/>
      <c r="J34" s="406"/>
      <c r="K34" s="406"/>
      <c r="L34" s="406"/>
      <c r="M34" s="406"/>
      <c r="N34" s="158"/>
    </row>
    <row r="35" spans="1:14" ht="13.5" customHeight="1" x14ac:dyDescent="0.25">
      <c r="A35" s="142"/>
      <c r="B35" s="405"/>
      <c r="C35" s="405"/>
      <c r="D35" s="405"/>
      <c r="E35" s="405"/>
      <c r="F35" s="172"/>
      <c r="G35" s="406"/>
      <c r="H35" s="406"/>
      <c r="I35" s="187"/>
      <c r="J35" s="406"/>
      <c r="K35" s="406"/>
      <c r="L35" s="406"/>
      <c r="M35" s="406"/>
      <c r="N35" s="158"/>
    </row>
    <row r="36" spans="1:14" ht="13.5" customHeight="1" x14ac:dyDescent="0.25">
      <c r="A36" s="142"/>
      <c r="B36" s="405"/>
      <c r="C36" s="405"/>
      <c r="D36" s="405"/>
      <c r="E36" s="405"/>
      <c r="F36" s="172"/>
      <c r="G36" s="406"/>
      <c r="H36" s="406"/>
      <c r="I36" s="187"/>
      <c r="J36" s="406"/>
      <c r="K36" s="406"/>
      <c r="L36" s="406"/>
      <c r="M36" s="406"/>
      <c r="N36" s="158"/>
    </row>
    <row r="37" spans="1:14" ht="13.5" customHeight="1" thickBot="1" x14ac:dyDescent="0.3">
      <c r="A37" s="144"/>
      <c r="B37" s="408"/>
      <c r="C37" s="408"/>
      <c r="D37" s="408"/>
      <c r="E37" s="408"/>
      <c r="F37" s="173"/>
      <c r="G37" s="409"/>
      <c r="H37" s="409"/>
      <c r="I37" s="188"/>
      <c r="J37" s="409"/>
      <c r="K37" s="409"/>
      <c r="L37" s="409"/>
      <c r="M37" s="409"/>
      <c r="N37" s="159"/>
    </row>
    <row r="38" spans="1:14" ht="13.5" customHeight="1" x14ac:dyDescent="0.25"/>
    <row r="39" spans="1:14" ht="13.5" customHeight="1" x14ac:dyDescent="0.25">
      <c r="I39" s="68"/>
      <c r="J39" s="68"/>
      <c r="K39" s="403"/>
      <c r="L39" s="403"/>
      <c r="M39" s="452"/>
      <c r="N39" s="452"/>
    </row>
  </sheetData>
  <mergeCells count="142">
    <mergeCell ref="B37:E37"/>
    <mergeCell ref="B31:E31"/>
    <mergeCell ref="G31:H31"/>
    <mergeCell ref="B32:E32"/>
    <mergeCell ref="G34:H34"/>
    <mergeCell ref="G32:H32"/>
    <mergeCell ref="B33:E33"/>
    <mergeCell ref="B34:E34"/>
    <mergeCell ref="G35:H35"/>
    <mergeCell ref="G33:H33"/>
    <mergeCell ref="L31:M31"/>
    <mergeCell ref="J31:K31"/>
    <mergeCell ref="L32:M32"/>
    <mergeCell ref="L33:M33"/>
    <mergeCell ref="J33:K33"/>
    <mergeCell ref="J32:K32"/>
    <mergeCell ref="J34:K34"/>
    <mergeCell ref="L34:M34"/>
    <mergeCell ref="J35:K35"/>
    <mergeCell ref="L35:M35"/>
    <mergeCell ref="G30:H30"/>
    <mergeCell ref="B29:E29"/>
    <mergeCell ref="J30:K30"/>
    <mergeCell ref="L30:M30"/>
    <mergeCell ref="G29:H29"/>
    <mergeCell ref="B30:E30"/>
    <mergeCell ref="J29:K29"/>
    <mergeCell ref="L29:M29"/>
    <mergeCell ref="K39:L39"/>
    <mergeCell ref="M39:N39"/>
    <mergeCell ref="B35:E35"/>
    <mergeCell ref="B36:E36"/>
    <mergeCell ref="G37:H37"/>
    <mergeCell ref="J37:K37"/>
    <mergeCell ref="L37:M37"/>
    <mergeCell ref="G36:H36"/>
    <mergeCell ref="J36:K36"/>
    <mergeCell ref="L36:M36"/>
    <mergeCell ref="G28:H28"/>
    <mergeCell ref="G27:H27"/>
    <mergeCell ref="B26:E26"/>
    <mergeCell ref="B19:E19"/>
    <mergeCell ref="B20:E20"/>
    <mergeCell ref="B28:E28"/>
    <mergeCell ref="B27:E27"/>
    <mergeCell ref="B21:E21"/>
    <mergeCell ref="B22:E22"/>
    <mergeCell ref="B23:E23"/>
    <mergeCell ref="G26:H26"/>
    <mergeCell ref="G25:H25"/>
    <mergeCell ref="G24:H24"/>
    <mergeCell ref="J23:K23"/>
    <mergeCell ref="J26:K26"/>
    <mergeCell ref="B25:E25"/>
    <mergeCell ref="B24:E24"/>
    <mergeCell ref="G23:H23"/>
    <mergeCell ref="G21:H21"/>
    <mergeCell ref="J21:K21"/>
    <mergeCell ref="G22:H22"/>
    <mergeCell ref="G19:H19"/>
    <mergeCell ref="G20:H20"/>
    <mergeCell ref="J22:K22"/>
    <mergeCell ref="J20:K20"/>
    <mergeCell ref="J19:K19"/>
    <mergeCell ref="B18:E18"/>
    <mergeCell ref="G15:H15"/>
    <mergeCell ref="J15:K15"/>
    <mergeCell ref="J18:K18"/>
    <mergeCell ref="G16:H16"/>
    <mergeCell ref="G18:H18"/>
    <mergeCell ref="B17:E17"/>
    <mergeCell ref="B16:E16"/>
    <mergeCell ref="G17:H17"/>
    <mergeCell ref="B15:E15"/>
    <mergeCell ref="J12:K12"/>
    <mergeCell ref="B13:E13"/>
    <mergeCell ref="G13:H13"/>
    <mergeCell ref="B14:E14"/>
    <mergeCell ref="G14:H14"/>
    <mergeCell ref="J13:K13"/>
    <mergeCell ref="L10:M10"/>
    <mergeCell ref="G6:H6"/>
    <mergeCell ref="C7:N7"/>
    <mergeCell ref="I6:N6"/>
    <mergeCell ref="I9:I10"/>
    <mergeCell ref="J9:N9"/>
    <mergeCell ref="B9:E10"/>
    <mergeCell ref="F9:F10"/>
    <mergeCell ref="B11:E11"/>
    <mergeCell ref="B12:E12"/>
    <mergeCell ref="G11:H11"/>
    <mergeCell ref="G12:H12"/>
    <mergeCell ref="I4:J4"/>
    <mergeCell ref="K4:L4"/>
    <mergeCell ref="A7:B7"/>
    <mergeCell ref="A8:N8"/>
    <mergeCell ref="G9:H10"/>
    <mergeCell ref="I5:J5"/>
    <mergeCell ref="K5:L5"/>
    <mergeCell ref="M5:N5"/>
    <mergeCell ref="G5:H5"/>
    <mergeCell ref="A9:A10"/>
    <mergeCell ref="G1:H1"/>
    <mergeCell ref="I1:J1"/>
    <mergeCell ref="K1:L1"/>
    <mergeCell ref="I2:J2"/>
    <mergeCell ref="K2:L2"/>
    <mergeCell ref="M4:N4"/>
    <mergeCell ref="G2:H2"/>
    <mergeCell ref="I3:J3"/>
    <mergeCell ref="K3:L3"/>
    <mergeCell ref="M3:N3"/>
    <mergeCell ref="L17:M17"/>
    <mergeCell ref="L14:M14"/>
    <mergeCell ref="J14:K14"/>
    <mergeCell ref="G4:H4"/>
    <mergeCell ref="M2:N2"/>
    <mergeCell ref="G3:H3"/>
    <mergeCell ref="J11:K11"/>
    <mergeCell ref="L11:M11"/>
    <mergeCell ref="L12:M12"/>
    <mergeCell ref="J10:K10"/>
    <mergeCell ref="L13:M13"/>
    <mergeCell ref="J28:K28"/>
    <mergeCell ref="L26:M26"/>
    <mergeCell ref="L24:M24"/>
    <mergeCell ref="L25:M25"/>
    <mergeCell ref="L28:M28"/>
    <mergeCell ref="J25:K25"/>
    <mergeCell ref="L27:M27"/>
    <mergeCell ref="L21:M21"/>
    <mergeCell ref="J16:K16"/>
    <mergeCell ref="L16:M16"/>
    <mergeCell ref="J17:K17"/>
    <mergeCell ref="L23:M23"/>
    <mergeCell ref="J27:K27"/>
    <mergeCell ref="L15:M15"/>
    <mergeCell ref="L22:M22"/>
    <mergeCell ref="L18:M18"/>
    <mergeCell ref="L20:M20"/>
    <mergeCell ref="L19:M19"/>
    <mergeCell ref="J24:K24"/>
  </mergeCells>
  <phoneticPr fontId="0" type="noConversion"/>
  <dataValidations count="4">
    <dataValidation type="list" allowBlank="1" showInputMessage="1" showErrorMessage="1" sqref="I12:I37" xr:uid="{2BE3AFE6-F7CE-4208-BDD0-53DA65F1574F}">
      <formula1>RidgeFins</formula1>
    </dataValidation>
    <dataValidation type="list" errorStyle="warning" allowBlank="1" showInputMessage="1" showErrorMessage="1" errorTitle="Unlisted" error="You have entered an unlisted item.  Please make sure the item entered is correct." sqref="B12:E37" xr:uid="{405EEC61-D95D-4135-8368-F6A140DFBF35}">
      <formula1>RidgeVents</formula1>
    </dataValidation>
    <dataValidation type="list" allowBlank="1" showInputMessage="1" showErrorMessage="1" sqref="N12:N37" xr:uid="{562F6A25-FAA9-4023-B76E-E4DA13549D36}">
      <formula1>Handle</formula1>
    </dataValidation>
    <dataValidation type="list" errorStyle="warning" allowBlank="1" showInputMessage="1" showErrorMessage="1" errorTitle="Unlisted" error="You have entered an unlisted item.  Please make sure the item entered is correct." sqref="G12:H37" xr:uid="{202308F7-94C7-4F92-BDD1-D2271E9CC9E7}">
      <formula1>RoofColors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964E-1519-4956-AE2B-08EF9E8CD818}">
  <sheetPr codeName="Sheet93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1400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573" t="s">
        <v>238</v>
      </c>
      <c r="B9" s="526" t="s">
        <v>240</v>
      </c>
      <c r="C9" s="528"/>
      <c r="D9" s="528"/>
      <c r="E9" s="527"/>
      <c r="F9" s="577" t="s">
        <v>273</v>
      </c>
      <c r="G9" s="570" t="s">
        <v>242</v>
      </c>
      <c r="H9" s="571"/>
      <c r="I9" s="577" t="s">
        <v>1405</v>
      </c>
      <c r="J9" s="583" t="s">
        <v>672</v>
      </c>
      <c r="K9" s="584"/>
      <c r="L9" s="584"/>
      <c r="M9" s="584"/>
      <c r="N9" s="585"/>
    </row>
    <row r="10" spans="1:16" ht="13.5" customHeight="1" thickBot="1" x14ac:dyDescent="0.3">
      <c r="A10" s="574"/>
      <c r="B10" s="579"/>
      <c r="C10" s="580"/>
      <c r="D10" s="580"/>
      <c r="E10" s="581"/>
      <c r="F10" s="578"/>
      <c r="G10" s="575"/>
      <c r="H10" s="576"/>
      <c r="I10" s="578"/>
      <c r="J10" s="416" t="s">
        <v>325</v>
      </c>
      <c r="K10" s="417"/>
      <c r="L10" s="421" t="s">
        <v>326</v>
      </c>
      <c r="M10" s="417"/>
      <c r="N10" s="38" t="s">
        <v>357</v>
      </c>
    </row>
    <row r="11" spans="1:16" ht="13.5" customHeight="1" x14ac:dyDescent="0.25">
      <c r="A11" s="205"/>
      <c r="B11" s="586"/>
      <c r="C11" s="586"/>
      <c r="D11" s="586"/>
      <c r="E11" s="586"/>
      <c r="F11" s="206"/>
      <c r="G11" s="586"/>
      <c r="H11" s="586"/>
      <c r="I11" s="206"/>
      <c r="J11" s="539"/>
      <c r="K11" s="539"/>
      <c r="L11" s="539"/>
      <c r="M11" s="539"/>
      <c r="N11" s="197"/>
    </row>
    <row r="12" spans="1:16" ht="13.5" customHeight="1" x14ac:dyDescent="0.25">
      <c r="A12" s="142" t="str">
        <f>"@Data"</f>
        <v>@Data</v>
      </c>
      <c r="B12" s="405"/>
      <c r="C12" s="405"/>
      <c r="D12" s="405"/>
      <c r="E12" s="405"/>
      <c r="F12" s="172"/>
      <c r="G12" s="406"/>
      <c r="H12" s="582"/>
      <c r="I12" s="172"/>
      <c r="J12" s="406"/>
      <c r="K12" s="406"/>
      <c r="L12" s="406"/>
      <c r="M12" s="406"/>
      <c r="N12" s="158"/>
    </row>
    <row r="13" spans="1:16" ht="13.5" customHeight="1" x14ac:dyDescent="0.25">
      <c r="A13" s="142"/>
      <c r="B13" s="405"/>
      <c r="C13" s="405"/>
      <c r="D13" s="405"/>
      <c r="E13" s="405"/>
      <c r="F13" s="172"/>
      <c r="G13" s="406"/>
      <c r="H13" s="406"/>
      <c r="I13" s="172"/>
      <c r="J13" s="406"/>
      <c r="K13" s="406"/>
      <c r="L13" s="406"/>
      <c r="M13" s="406"/>
      <c r="N13" s="158"/>
    </row>
    <row r="14" spans="1:16" ht="13.5" customHeight="1" x14ac:dyDescent="0.25">
      <c r="A14" s="142"/>
      <c r="B14" s="405"/>
      <c r="C14" s="405"/>
      <c r="D14" s="405"/>
      <c r="E14" s="405"/>
      <c r="F14" s="172"/>
      <c r="G14" s="406"/>
      <c r="H14" s="406"/>
      <c r="I14" s="172"/>
      <c r="J14" s="406"/>
      <c r="K14" s="406"/>
      <c r="L14" s="406"/>
      <c r="M14" s="406"/>
      <c r="N14" s="158"/>
    </row>
    <row r="15" spans="1:16" ht="13.5" customHeight="1" x14ac:dyDescent="0.25">
      <c r="A15" s="142"/>
      <c r="B15" s="405"/>
      <c r="C15" s="405"/>
      <c r="D15" s="405"/>
      <c r="E15" s="405"/>
      <c r="F15" s="172"/>
      <c r="G15" s="406"/>
      <c r="H15" s="406"/>
      <c r="I15" s="172"/>
      <c r="J15" s="406"/>
      <c r="K15" s="406"/>
      <c r="L15" s="406"/>
      <c r="M15" s="406"/>
      <c r="N15" s="158"/>
    </row>
    <row r="16" spans="1:16" ht="13.5" customHeight="1" x14ac:dyDescent="0.25">
      <c r="A16" s="142"/>
      <c r="B16" s="405"/>
      <c r="C16" s="405"/>
      <c r="D16" s="405"/>
      <c r="E16" s="405"/>
      <c r="F16" s="172"/>
      <c r="G16" s="406"/>
      <c r="H16" s="406"/>
      <c r="I16" s="172"/>
      <c r="J16" s="406"/>
      <c r="K16" s="406"/>
      <c r="L16" s="406"/>
      <c r="M16" s="406"/>
      <c r="N16" s="158"/>
    </row>
    <row r="17" spans="1:14" ht="13.5" customHeight="1" x14ac:dyDescent="0.25">
      <c r="A17" s="142"/>
      <c r="B17" s="405"/>
      <c r="C17" s="405"/>
      <c r="D17" s="405"/>
      <c r="E17" s="405"/>
      <c r="F17" s="172"/>
      <c r="G17" s="406"/>
      <c r="H17" s="406"/>
      <c r="I17" s="172"/>
      <c r="J17" s="406"/>
      <c r="K17" s="406"/>
      <c r="L17" s="406"/>
      <c r="M17" s="406"/>
      <c r="N17" s="158"/>
    </row>
    <row r="18" spans="1:14" ht="13.5" customHeight="1" x14ac:dyDescent="0.25">
      <c r="A18" s="142"/>
      <c r="B18" s="405"/>
      <c r="C18" s="405"/>
      <c r="D18" s="405"/>
      <c r="E18" s="405"/>
      <c r="F18" s="172"/>
      <c r="G18" s="406"/>
      <c r="H18" s="406"/>
      <c r="I18" s="172"/>
      <c r="J18" s="406"/>
      <c r="K18" s="406"/>
      <c r="L18" s="406"/>
      <c r="M18" s="406"/>
      <c r="N18" s="158"/>
    </row>
    <row r="19" spans="1:14" ht="13.5" customHeight="1" x14ac:dyDescent="0.25">
      <c r="A19" s="142"/>
      <c r="B19" s="405"/>
      <c r="C19" s="405"/>
      <c r="D19" s="405"/>
      <c r="E19" s="405"/>
      <c r="F19" s="172"/>
      <c r="G19" s="406"/>
      <c r="H19" s="406"/>
      <c r="I19" s="172"/>
      <c r="J19" s="406"/>
      <c r="K19" s="406"/>
      <c r="L19" s="406"/>
      <c r="M19" s="406"/>
      <c r="N19" s="158"/>
    </row>
    <row r="20" spans="1:14" ht="13.5" customHeight="1" x14ac:dyDescent="0.25">
      <c r="A20" s="142"/>
      <c r="B20" s="405"/>
      <c r="C20" s="405"/>
      <c r="D20" s="405"/>
      <c r="E20" s="405"/>
      <c r="F20" s="172"/>
      <c r="G20" s="406"/>
      <c r="H20" s="406"/>
      <c r="I20" s="172"/>
      <c r="J20" s="406"/>
      <c r="K20" s="406"/>
      <c r="L20" s="406"/>
      <c r="M20" s="406"/>
      <c r="N20" s="158"/>
    </row>
    <row r="21" spans="1:14" s="2" customFormat="1" ht="13.5" customHeight="1" x14ac:dyDescent="0.25">
      <c r="A21" s="142"/>
      <c r="B21" s="405"/>
      <c r="C21" s="405"/>
      <c r="D21" s="405"/>
      <c r="E21" s="405"/>
      <c r="F21" s="172"/>
      <c r="G21" s="406"/>
      <c r="H21" s="406"/>
      <c r="I21" s="172"/>
      <c r="J21" s="406"/>
      <c r="K21" s="406"/>
      <c r="L21" s="406"/>
      <c r="M21" s="406"/>
      <c r="N21" s="158"/>
    </row>
    <row r="22" spans="1:14" ht="13.5" customHeight="1" x14ac:dyDescent="0.25">
      <c r="A22" s="142"/>
      <c r="B22" s="405"/>
      <c r="C22" s="405"/>
      <c r="D22" s="405"/>
      <c r="E22" s="405"/>
      <c r="F22" s="172"/>
      <c r="G22" s="406"/>
      <c r="H22" s="406"/>
      <c r="I22" s="172"/>
      <c r="J22" s="406"/>
      <c r="K22" s="406"/>
      <c r="L22" s="406"/>
      <c r="M22" s="406"/>
      <c r="N22" s="158"/>
    </row>
    <row r="23" spans="1:14" ht="13.5" customHeight="1" x14ac:dyDescent="0.25">
      <c r="A23" s="142"/>
      <c r="B23" s="405"/>
      <c r="C23" s="405"/>
      <c r="D23" s="405"/>
      <c r="E23" s="405"/>
      <c r="F23" s="172"/>
      <c r="G23" s="406"/>
      <c r="H23" s="406"/>
      <c r="I23" s="172"/>
      <c r="J23" s="406"/>
      <c r="K23" s="406"/>
      <c r="L23" s="406"/>
      <c r="M23" s="406"/>
      <c r="N23" s="158"/>
    </row>
    <row r="24" spans="1:14" ht="13.5" customHeight="1" x14ac:dyDescent="0.25">
      <c r="A24" s="142"/>
      <c r="B24" s="405"/>
      <c r="C24" s="405"/>
      <c r="D24" s="405"/>
      <c r="E24" s="405"/>
      <c r="F24" s="172"/>
      <c r="G24" s="406"/>
      <c r="H24" s="406"/>
      <c r="I24" s="172"/>
      <c r="J24" s="406"/>
      <c r="K24" s="406"/>
      <c r="L24" s="406"/>
      <c r="M24" s="406"/>
      <c r="N24" s="158"/>
    </row>
    <row r="25" spans="1:14" ht="13.5" customHeight="1" x14ac:dyDescent="0.25">
      <c r="A25" s="142"/>
      <c r="B25" s="405"/>
      <c r="C25" s="405"/>
      <c r="D25" s="405"/>
      <c r="E25" s="405"/>
      <c r="F25" s="172"/>
      <c r="G25" s="406"/>
      <c r="H25" s="406"/>
      <c r="I25" s="172"/>
      <c r="J25" s="406"/>
      <c r="K25" s="406"/>
      <c r="L25" s="406"/>
      <c r="M25" s="406"/>
      <c r="N25" s="158"/>
    </row>
    <row r="26" spans="1:14" ht="13.5" customHeight="1" x14ac:dyDescent="0.25">
      <c r="A26" s="142"/>
      <c r="B26" s="405"/>
      <c r="C26" s="405"/>
      <c r="D26" s="405"/>
      <c r="E26" s="405"/>
      <c r="F26" s="172"/>
      <c r="G26" s="406"/>
      <c r="H26" s="406"/>
      <c r="I26" s="172"/>
      <c r="J26" s="406"/>
      <c r="K26" s="406"/>
      <c r="L26" s="406"/>
      <c r="M26" s="406"/>
      <c r="N26" s="158"/>
    </row>
    <row r="27" spans="1:14" ht="13.5" customHeight="1" x14ac:dyDescent="0.25">
      <c r="A27" s="142"/>
      <c r="B27" s="405"/>
      <c r="C27" s="405"/>
      <c r="D27" s="405"/>
      <c r="E27" s="405"/>
      <c r="F27" s="172"/>
      <c r="G27" s="406"/>
      <c r="H27" s="406"/>
      <c r="I27" s="172"/>
      <c r="J27" s="406"/>
      <c r="K27" s="406"/>
      <c r="L27" s="406"/>
      <c r="M27" s="406"/>
      <c r="N27" s="158"/>
    </row>
    <row r="28" spans="1:14" ht="13.5" customHeight="1" x14ac:dyDescent="0.25">
      <c r="A28" s="142"/>
      <c r="B28" s="405"/>
      <c r="C28" s="405"/>
      <c r="D28" s="405"/>
      <c r="E28" s="405"/>
      <c r="F28" s="172"/>
      <c r="G28" s="406"/>
      <c r="H28" s="406"/>
      <c r="I28" s="172"/>
      <c r="J28" s="406"/>
      <c r="K28" s="406"/>
      <c r="L28" s="406"/>
      <c r="M28" s="406"/>
      <c r="N28" s="158"/>
    </row>
    <row r="29" spans="1:14" ht="13.5" customHeight="1" x14ac:dyDescent="0.25">
      <c r="A29" s="142"/>
      <c r="B29" s="405"/>
      <c r="C29" s="405"/>
      <c r="D29" s="405"/>
      <c r="E29" s="405"/>
      <c r="F29" s="172"/>
      <c r="G29" s="406"/>
      <c r="H29" s="406"/>
      <c r="I29" s="172"/>
      <c r="J29" s="406"/>
      <c r="K29" s="406"/>
      <c r="L29" s="406"/>
      <c r="M29" s="406"/>
      <c r="N29" s="158"/>
    </row>
    <row r="30" spans="1:14" ht="13.5" customHeight="1" x14ac:dyDescent="0.25">
      <c r="A30" s="142"/>
      <c r="B30" s="405"/>
      <c r="C30" s="405"/>
      <c r="D30" s="405"/>
      <c r="E30" s="405"/>
      <c r="F30" s="172"/>
      <c r="G30" s="406"/>
      <c r="H30" s="406"/>
      <c r="I30" s="172"/>
      <c r="J30" s="406"/>
      <c r="K30" s="406"/>
      <c r="L30" s="406"/>
      <c r="M30" s="406"/>
      <c r="N30" s="158"/>
    </row>
    <row r="31" spans="1:14" ht="13.5" customHeight="1" x14ac:dyDescent="0.25">
      <c r="A31" s="142"/>
      <c r="B31" s="405"/>
      <c r="C31" s="405"/>
      <c r="D31" s="405"/>
      <c r="E31" s="405"/>
      <c r="F31" s="172"/>
      <c r="G31" s="406"/>
      <c r="H31" s="406"/>
      <c r="I31" s="172"/>
      <c r="J31" s="406"/>
      <c r="K31" s="406"/>
      <c r="L31" s="406"/>
      <c r="M31" s="406"/>
      <c r="N31" s="158"/>
    </row>
    <row r="32" spans="1:14" ht="13.5" customHeight="1" x14ac:dyDescent="0.25">
      <c r="A32" s="142"/>
      <c r="B32" s="405"/>
      <c r="C32" s="405"/>
      <c r="D32" s="405"/>
      <c r="E32" s="405"/>
      <c r="F32" s="172"/>
      <c r="G32" s="406"/>
      <c r="H32" s="406"/>
      <c r="I32" s="172"/>
      <c r="J32" s="406"/>
      <c r="K32" s="406"/>
      <c r="L32" s="406"/>
      <c r="M32" s="406"/>
      <c r="N32" s="158"/>
    </row>
    <row r="33" spans="1:14" ht="13.5" customHeight="1" x14ac:dyDescent="0.25">
      <c r="A33" s="142"/>
      <c r="B33" s="405"/>
      <c r="C33" s="405"/>
      <c r="D33" s="405"/>
      <c r="E33" s="405"/>
      <c r="F33" s="172"/>
      <c r="G33" s="406"/>
      <c r="H33" s="406"/>
      <c r="I33" s="172"/>
      <c r="J33" s="406"/>
      <c r="K33" s="406"/>
      <c r="L33" s="406"/>
      <c r="M33" s="406"/>
      <c r="N33" s="158"/>
    </row>
    <row r="34" spans="1:14" ht="13.5" customHeight="1" x14ac:dyDescent="0.25">
      <c r="A34" s="142"/>
      <c r="B34" s="405"/>
      <c r="C34" s="405"/>
      <c r="D34" s="405"/>
      <c r="E34" s="405"/>
      <c r="F34" s="172"/>
      <c r="G34" s="406"/>
      <c r="H34" s="406"/>
      <c r="I34" s="172"/>
      <c r="J34" s="406"/>
      <c r="K34" s="406"/>
      <c r="L34" s="406"/>
      <c r="M34" s="406"/>
      <c r="N34" s="158"/>
    </row>
    <row r="35" spans="1:14" ht="13.5" customHeight="1" x14ac:dyDescent="0.25">
      <c r="A35" s="142"/>
      <c r="B35" s="405"/>
      <c r="C35" s="405"/>
      <c r="D35" s="405"/>
      <c r="E35" s="405"/>
      <c r="F35" s="172"/>
      <c r="G35" s="406"/>
      <c r="H35" s="406"/>
      <c r="I35" s="172"/>
      <c r="J35" s="406"/>
      <c r="K35" s="406"/>
      <c r="L35" s="406"/>
      <c r="M35" s="406"/>
      <c r="N35" s="158"/>
    </row>
    <row r="36" spans="1:14" ht="13.5" customHeight="1" x14ac:dyDescent="0.25">
      <c r="A36" s="142"/>
      <c r="B36" s="405"/>
      <c r="C36" s="405"/>
      <c r="D36" s="405"/>
      <c r="E36" s="405"/>
      <c r="F36" s="172"/>
      <c r="G36" s="406"/>
      <c r="H36" s="406"/>
      <c r="I36" s="172"/>
      <c r="J36" s="406"/>
      <c r="K36" s="406"/>
      <c r="L36" s="406"/>
      <c r="M36" s="406"/>
      <c r="N36" s="158"/>
    </row>
    <row r="37" spans="1:14" ht="13.5" customHeight="1" thickBot="1" x14ac:dyDescent="0.3">
      <c r="A37" s="144"/>
      <c r="B37" s="408"/>
      <c r="C37" s="408"/>
      <c r="D37" s="408"/>
      <c r="E37" s="408"/>
      <c r="F37" s="173"/>
      <c r="G37" s="409"/>
      <c r="H37" s="409"/>
      <c r="I37" s="173"/>
      <c r="J37" s="409"/>
      <c r="K37" s="409"/>
      <c r="L37" s="409"/>
      <c r="M37" s="409"/>
      <c r="N37" s="159"/>
    </row>
    <row r="38" spans="1:14" ht="13.5" customHeight="1" x14ac:dyDescent="0.25"/>
    <row r="39" spans="1:14" ht="13.5" customHeight="1" x14ac:dyDescent="0.25">
      <c r="I39" s="68"/>
      <c r="J39" s="68"/>
      <c r="K39" s="403"/>
      <c r="L39" s="403"/>
      <c r="M39" s="452"/>
      <c r="N39" s="452"/>
    </row>
  </sheetData>
  <mergeCells count="142">
    <mergeCell ref="L34:M34"/>
    <mergeCell ref="J35:K35"/>
    <mergeCell ref="L35:M35"/>
    <mergeCell ref="L32:M32"/>
    <mergeCell ref="J33:K33"/>
    <mergeCell ref="L33:M33"/>
    <mergeCell ref="J32:K32"/>
    <mergeCell ref="J34:K34"/>
    <mergeCell ref="L31:M31"/>
    <mergeCell ref="J31:K31"/>
    <mergeCell ref="L30:M30"/>
    <mergeCell ref="J28:K28"/>
    <mergeCell ref="L28:M28"/>
    <mergeCell ref="J30:K30"/>
    <mergeCell ref="L29:M29"/>
    <mergeCell ref="G17:H17"/>
    <mergeCell ref="L18:M18"/>
    <mergeCell ref="J20:K20"/>
    <mergeCell ref="L20:M20"/>
    <mergeCell ref="J19:K19"/>
    <mergeCell ref="L19:M19"/>
    <mergeCell ref="J17:K17"/>
    <mergeCell ref="L17:M17"/>
    <mergeCell ref="J18:K18"/>
    <mergeCell ref="G19:H19"/>
    <mergeCell ref="B33:E33"/>
    <mergeCell ref="L24:M24"/>
    <mergeCell ref="B28:E28"/>
    <mergeCell ref="B32:E32"/>
    <mergeCell ref="B30:E30"/>
    <mergeCell ref="B31:E31"/>
    <mergeCell ref="G32:H32"/>
    <mergeCell ref="B27:E27"/>
    <mergeCell ref="G27:H27"/>
    <mergeCell ref="B29:E29"/>
    <mergeCell ref="B37:E37"/>
    <mergeCell ref="G37:H37"/>
    <mergeCell ref="L36:M36"/>
    <mergeCell ref="B25:E25"/>
    <mergeCell ref="G25:H25"/>
    <mergeCell ref="B26:E26"/>
    <mergeCell ref="G26:H26"/>
    <mergeCell ref="B35:E35"/>
    <mergeCell ref="G35:H35"/>
    <mergeCell ref="B34:E34"/>
    <mergeCell ref="G31:H31"/>
    <mergeCell ref="J25:K25"/>
    <mergeCell ref="K39:L39"/>
    <mergeCell ref="M39:N39"/>
    <mergeCell ref="J37:K37"/>
    <mergeCell ref="L37:M37"/>
    <mergeCell ref="G34:H34"/>
    <mergeCell ref="L25:M25"/>
    <mergeCell ref="J26:K26"/>
    <mergeCell ref="L27:M27"/>
    <mergeCell ref="J24:K24"/>
    <mergeCell ref="B36:E36"/>
    <mergeCell ref="G36:H36"/>
    <mergeCell ref="J36:K36"/>
    <mergeCell ref="J27:K27"/>
    <mergeCell ref="J29:K29"/>
    <mergeCell ref="G28:H28"/>
    <mergeCell ref="G29:H29"/>
    <mergeCell ref="G33:H33"/>
    <mergeCell ref="G30:H30"/>
    <mergeCell ref="B20:E20"/>
    <mergeCell ref="G20:H20"/>
    <mergeCell ref="G21:H21"/>
    <mergeCell ref="L26:M26"/>
    <mergeCell ref="J23:K23"/>
    <mergeCell ref="L23:M23"/>
    <mergeCell ref="J21:K21"/>
    <mergeCell ref="L21:M21"/>
    <mergeCell ref="J22:K22"/>
    <mergeCell ref="L22:M22"/>
    <mergeCell ref="B23:E23"/>
    <mergeCell ref="G23:H23"/>
    <mergeCell ref="B24:E24"/>
    <mergeCell ref="B21:E21"/>
    <mergeCell ref="B22:E22"/>
    <mergeCell ref="G22:H22"/>
    <mergeCell ref="G24:H24"/>
    <mergeCell ref="B18:E18"/>
    <mergeCell ref="G18:H18"/>
    <mergeCell ref="B19:E19"/>
    <mergeCell ref="B14:E14"/>
    <mergeCell ref="G14:H14"/>
    <mergeCell ref="B15:E15"/>
    <mergeCell ref="G15:H15"/>
    <mergeCell ref="B16:E16"/>
    <mergeCell ref="G16:H16"/>
    <mergeCell ref="B17:E17"/>
    <mergeCell ref="G9:H10"/>
    <mergeCell ref="L15:M15"/>
    <mergeCell ref="L11:M11"/>
    <mergeCell ref="I9:I10"/>
    <mergeCell ref="L14:M14"/>
    <mergeCell ref="J12:K12"/>
    <mergeCell ref="J13:K13"/>
    <mergeCell ref="L13:M13"/>
    <mergeCell ref="J14:K14"/>
    <mergeCell ref="L12:M12"/>
    <mergeCell ref="J16:K16"/>
    <mergeCell ref="L16:M16"/>
    <mergeCell ref="J15:K15"/>
    <mergeCell ref="G1:H1"/>
    <mergeCell ref="G13:H13"/>
    <mergeCell ref="G4:H4"/>
    <mergeCell ref="G3:H3"/>
    <mergeCell ref="G2:H2"/>
    <mergeCell ref="G6:H6"/>
    <mergeCell ref="C7:N7"/>
    <mergeCell ref="B13:E13"/>
    <mergeCell ref="B12:E12"/>
    <mergeCell ref="G12:H12"/>
    <mergeCell ref="A7:B7"/>
    <mergeCell ref="B9:E10"/>
    <mergeCell ref="J9:N9"/>
    <mergeCell ref="B11:E11"/>
    <mergeCell ref="G11:H11"/>
    <mergeCell ref="A9:A10"/>
    <mergeCell ref="F9:F10"/>
    <mergeCell ref="A8:N8"/>
    <mergeCell ref="J11:K11"/>
    <mergeCell ref="I4:J4"/>
    <mergeCell ref="K4:L4"/>
    <mergeCell ref="K5:L5"/>
    <mergeCell ref="I5:J5"/>
    <mergeCell ref="I6:N6"/>
    <mergeCell ref="J10:K10"/>
    <mergeCell ref="L10:M10"/>
    <mergeCell ref="M5:N5"/>
    <mergeCell ref="M2:N2"/>
    <mergeCell ref="M3:N3"/>
    <mergeCell ref="G5:H5"/>
    <mergeCell ref="I1:J1"/>
    <mergeCell ref="K1:L1"/>
    <mergeCell ref="I2:J2"/>
    <mergeCell ref="K2:L2"/>
    <mergeCell ref="I3:J3"/>
    <mergeCell ref="K3:L3"/>
    <mergeCell ref="M4:N4"/>
  </mergeCells>
  <phoneticPr fontId="0" type="noConversion"/>
  <dataValidations count="4">
    <dataValidation type="list" errorStyle="warning" allowBlank="1" showInputMessage="1" showErrorMessage="1" errorTitle="Unlisted" error="You have entered an unlisted item.  Please make sure the item entered is correct." sqref="B12:B36 C13:E36 B37:E37" xr:uid="{14BAF23C-8CD7-410E-BAD4-34679FE79496}">
      <formula1>Vents</formula1>
    </dataValidation>
    <dataValidation type="list" allowBlank="1" showInputMessage="1" showErrorMessage="1" sqref="I12:I37" xr:uid="{8212E2ED-792C-41AA-ACC8-E1182C7A36AF}">
      <formula1>Base</formula1>
    </dataValidation>
    <dataValidation type="list" allowBlank="1" showInputMessage="1" showErrorMessage="1" sqref="N12:N37" xr:uid="{1B4F039E-1CCC-43BF-AD1D-9201D4ABFE18}">
      <formula1>Handle</formula1>
    </dataValidation>
    <dataValidation type="list" errorStyle="warning" allowBlank="1" showInputMessage="1" showErrorMessage="1" errorTitle="Unlisted" error="You have entered an unlisted item.  Please make sure the item entered is correct." sqref="G12:H37" xr:uid="{95F4E06C-E685-417E-8F3A-FDCB34EB0A29}">
      <formula1>RoofColors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A4D0-77A9-45C3-8BAA-99D4DCE86D9D}">
  <sheetPr codeName="Sheet94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329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22" t="s">
        <v>240</v>
      </c>
      <c r="C9" s="423"/>
      <c r="D9" s="423"/>
      <c r="E9" s="423"/>
      <c r="F9" s="424"/>
      <c r="G9" s="422" t="s">
        <v>359</v>
      </c>
      <c r="H9" s="424"/>
      <c r="I9" s="422" t="s">
        <v>280</v>
      </c>
      <c r="J9" s="424"/>
      <c r="K9" s="416" t="s">
        <v>980</v>
      </c>
      <c r="L9" s="417"/>
      <c r="M9" s="416" t="s">
        <v>242</v>
      </c>
      <c r="N9" s="417"/>
    </row>
    <row r="10" spans="1:16" ht="13.5" customHeight="1" x14ac:dyDescent="0.25">
      <c r="A10" s="162"/>
      <c r="B10" s="529"/>
      <c r="C10" s="529"/>
      <c r="D10" s="529"/>
      <c r="E10" s="529"/>
      <c r="F10" s="529"/>
      <c r="G10" s="529"/>
      <c r="H10" s="529"/>
      <c r="I10" s="529"/>
      <c r="J10" s="529"/>
      <c r="K10" s="538"/>
      <c r="L10" s="538"/>
      <c r="M10" s="587"/>
      <c r="N10" s="588"/>
    </row>
    <row r="11" spans="1:16" ht="13.5" customHeight="1" x14ac:dyDescent="0.25">
      <c r="A11" s="142" t="str">
        <f>"@Data"</f>
        <v>@Data</v>
      </c>
      <c r="B11" s="405"/>
      <c r="C11" s="405"/>
      <c r="D11" s="405"/>
      <c r="E11" s="405"/>
      <c r="F11" s="405"/>
      <c r="G11" s="406"/>
      <c r="H11" s="406"/>
      <c r="I11" s="406"/>
      <c r="J11" s="406"/>
      <c r="K11" s="406"/>
      <c r="L11" s="406"/>
      <c r="M11" s="406"/>
      <c r="N11" s="589"/>
    </row>
    <row r="12" spans="1:16" ht="13.5" customHeight="1" x14ac:dyDescent="0.25">
      <c r="A12" s="142"/>
      <c r="B12" s="405"/>
      <c r="C12" s="405"/>
      <c r="D12" s="405"/>
      <c r="E12" s="405"/>
      <c r="F12" s="405"/>
      <c r="G12" s="406"/>
      <c r="H12" s="406"/>
      <c r="I12" s="406"/>
      <c r="J12" s="406"/>
      <c r="K12" s="406"/>
      <c r="L12" s="406"/>
      <c r="M12" s="406"/>
      <c r="N12" s="589"/>
    </row>
    <row r="13" spans="1:16" ht="13.5" customHeight="1" x14ac:dyDescent="0.25">
      <c r="A13" s="142"/>
      <c r="B13" s="405"/>
      <c r="C13" s="405"/>
      <c r="D13" s="405"/>
      <c r="E13" s="405"/>
      <c r="F13" s="405"/>
      <c r="G13" s="406"/>
      <c r="H13" s="406"/>
      <c r="I13" s="406"/>
      <c r="J13" s="406"/>
      <c r="K13" s="406"/>
      <c r="L13" s="406"/>
      <c r="M13" s="406"/>
      <c r="N13" s="589"/>
    </row>
    <row r="14" spans="1:16" ht="13.5" customHeight="1" x14ac:dyDescent="0.25">
      <c r="A14" s="142"/>
      <c r="B14" s="405"/>
      <c r="C14" s="405"/>
      <c r="D14" s="405"/>
      <c r="E14" s="405"/>
      <c r="F14" s="405"/>
      <c r="G14" s="406"/>
      <c r="H14" s="406"/>
      <c r="I14" s="406"/>
      <c r="J14" s="406"/>
      <c r="K14" s="406"/>
      <c r="L14" s="406"/>
      <c r="M14" s="406"/>
      <c r="N14" s="589"/>
    </row>
    <row r="15" spans="1:16" ht="13.5" customHeight="1" x14ac:dyDescent="0.25">
      <c r="A15" s="142"/>
      <c r="B15" s="405"/>
      <c r="C15" s="405"/>
      <c r="D15" s="405"/>
      <c r="E15" s="405"/>
      <c r="F15" s="405"/>
      <c r="G15" s="406"/>
      <c r="H15" s="406"/>
      <c r="I15" s="406"/>
      <c r="J15" s="406"/>
      <c r="K15" s="406"/>
      <c r="L15" s="406"/>
      <c r="M15" s="406"/>
      <c r="N15" s="589"/>
    </row>
    <row r="16" spans="1:16" ht="13.5" customHeight="1" x14ac:dyDescent="0.25">
      <c r="A16" s="142"/>
      <c r="B16" s="405"/>
      <c r="C16" s="405"/>
      <c r="D16" s="405"/>
      <c r="E16" s="405"/>
      <c r="F16" s="405"/>
      <c r="G16" s="406"/>
      <c r="H16" s="406"/>
      <c r="I16" s="406"/>
      <c r="J16" s="406"/>
      <c r="K16" s="406"/>
      <c r="L16" s="406"/>
      <c r="M16" s="406"/>
      <c r="N16" s="589"/>
    </row>
    <row r="17" spans="1:14" ht="13.5" customHeight="1" x14ac:dyDescent="0.25">
      <c r="A17" s="142"/>
      <c r="B17" s="405"/>
      <c r="C17" s="405"/>
      <c r="D17" s="405"/>
      <c r="E17" s="405"/>
      <c r="F17" s="405"/>
      <c r="G17" s="406"/>
      <c r="H17" s="406"/>
      <c r="I17" s="406"/>
      <c r="J17" s="406"/>
      <c r="K17" s="406"/>
      <c r="L17" s="406"/>
      <c r="M17" s="406"/>
      <c r="N17" s="589"/>
    </row>
    <row r="18" spans="1:14" ht="13.5" customHeight="1" x14ac:dyDescent="0.25">
      <c r="A18" s="142"/>
      <c r="B18" s="405"/>
      <c r="C18" s="405"/>
      <c r="D18" s="405"/>
      <c r="E18" s="405"/>
      <c r="F18" s="405"/>
      <c r="G18" s="406"/>
      <c r="H18" s="406"/>
      <c r="I18" s="406"/>
      <c r="J18" s="406"/>
      <c r="K18" s="406"/>
      <c r="L18" s="406"/>
      <c r="M18" s="406"/>
      <c r="N18" s="589"/>
    </row>
    <row r="19" spans="1:14" ht="13.5" customHeight="1" x14ac:dyDescent="0.25">
      <c r="A19" s="142"/>
      <c r="B19" s="405"/>
      <c r="C19" s="405"/>
      <c r="D19" s="405"/>
      <c r="E19" s="405"/>
      <c r="F19" s="405"/>
      <c r="G19" s="406"/>
      <c r="H19" s="406"/>
      <c r="I19" s="406"/>
      <c r="J19" s="406"/>
      <c r="K19" s="406"/>
      <c r="L19" s="406"/>
      <c r="M19" s="406"/>
      <c r="N19" s="589"/>
    </row>
    <row r="20" spans="1:14" ht="13.5" customHeight="1" x14ac:dyDescent="0.25">
      <c r="A20" s="142"/>
      <c r="B20" s="405"/>
      <c r="C20" s="405"/>
      <c r="D20" s="405"/>
      <c r="E20" s="405"/>
      <c r="F20" s="405"/>
      <c r="G20" s="406"/>
      <c r="H20" s="406"/>
      <c r="I20" s="406"/>
      <c r="J20" s="406"/>
      <c r="K20" s="406"/>
      <c r="L20" s="406"/>
      <c r="M20" s="406"/>
      <c r="N20" s="589"/>
    </row>
    <row r="21" spans="1:14" s="2" customFormat="1" ht="13.5" customHeight="1" x14ac:dyDescent="0.25">
      <c r="A21" s="142"/>
      <c r="B21" s="405"/>
      <c r="C21" s="405"/>
      <c r="D21" s="405"/>
      <c r="E21" s="405"/>
      <c r="F21" s="405"/>
      <c r="G21" s="406"/>
      <c r="H21" s="406"/>
      <c r="I21" s="406"/>
      <c r="J21" s="406"/>
      <c r="K21" s="406"/>
      <c r="L21" s="406"/>
      <c r="M21" s="406"/>
      <c r="N21" s="589"/>
    </row>
    <row r="22" spans="1:14" ht="13.5" customHeight="1" x14ac:dyDescent="0.25">
      <c r="A22" s="142"/>
      <c r="B22" s="405"/>
      <c r="C22" s="405"/>
      <c r="D22" s="405"/>
      <c r="E22" s="405"/>
      <c r="F22" s="405"/>
      <c r="G22" s="406"/>
      <c r="H22" s="406"/>
      <c r="I22" s="406"/>
      <c r="J22" s="406"/>
      <c r="K22" s="406"/>
      <c r="L22" s="406"/>
      <c r="M22" s="406"/>
      <c r="N22" s="589"/>
    </row>
    <row r="23" spans="1:14" ht="13.5" customHeight="1" x14ac:dyDescent="0.25">
      <c r="A23" s="142"/>
      <c r="B23" s="405"/>
      <c r="C23" s="405"/>
      <c r="D23" s="405"/>
      <c r="E23" s="405"/>
      <c r="F23" s="405"/>
      <c r="G23" s="406"/>
      <c r="H23" s="406"/>
      <c r="I23" s="406"/>
      <c r="J23" s="406"/>
      <c r="K23" s="406"/>
      <c r="L23" s="406"/>
      <c r="M23" s="406"/>
      <c r="N23" s="589"/>
    </row>
    <row r="24" spans="1:14" ht="13.5" customHeight="1" x14ac:dyDescent="0.25">
      <c r="A24" s="142"/>
      <c r="B24" s="405"/>
      <c r="C24" s="405"/>
      <c r="D24" s="405"/>
      <c r="E24" s="405"/>
      <c r="F24" s="405"/>
      <c r="G24" s="406"/>
      <c r="H24" s="406"/>
      <c r="I24" s="406"/>
      <c r="J24" s="406"/>
      <c r="K24" s="406"/>
      <c r="L24" s="406"/>
      <c r="M24" s="406"/>
      <c r="N24" s="589"/>
    </row>
    <row r="25" spans="1:14" ht="13.5" customHeight="1" x14ac:dyDescent="0.25">
      <c r="A25" s="142"/>
      <c r="B25" s="405"/>
      <c r="C25" s="405"/>
      <c r="D25" s="405"/>
      <c r="E25" s="405"/>
      <c r="F25" s="405"/>
      <c r="G25" s="406"/>
      <c r="H25" s="406"/>
      <c r="I25" s="406"/>
      <c r="J25" s="406"/>
      <c r="K25" s="406"/>
      <c r="L25" s="406"/>
      <c r="M25" s="406"/>
      <c r="N25" s="589"/>
    </row>
    <row r="26" spans="1:14" ht="13.5" customHeight="1" x14ac:dyDescent="0.25">
      <c r="A26" s="142"/>
      <c r="B26" s="405"/>
      <c r="C26" s="405"/>
      <c r="D26" s="405"/>
      <c r="E26" s="405"/>
      <c r="F26" s="405"/>
      <c r="G26" s="406"/>
      <c r="H26" s="406"/>
      <c r="I26" s="406"/>
      <c r="J26" s="406"/>
      <c r="K26" s="406"/>
      <c r="L26" s="406"/>
      <c r="M26" s="406"/>
      <c r="N26" s="589"/>
    </row>
    <row r="27" spans="1:14" ht="13.5" customHeight="1" x14ac:dyDescent="0.25">
      <c r="A27" s="142"/>
      <c r="B27" s="405"/>
      <c r="C27" s="405"/>
      <c r="D27" s="405"/>
      <c r="E27" s="405"/>
      <c r="F27" s="405"/>
      <c r="G27" s="406"/>
      <c r="H27" s="406"/>
      <c r="I27" s="406"/>
      <c r="J27" s="406"/>
      <c r="K27" s="406"/>
      <c r="L27" s="406"/>
      <c r="M27" s="406"/>
      <c r="N27" s="589"/>
    </row>
    <row r="28" spans="1:14" ht="13.5" customHeight="1" x14ac:dyDescent="0.25">
      <c r="A28" s="142"/>
      <c r="B28" s="405"/>
      <c r="C28" s="405"/>
      <c r="D28" s="405"/>
      <c r="E28" s="405"/>
      <c r="F28" s="405"/>
      <c r="G28" s="406"/>
      <c r="H28" s="406"/>
      <c r="I28" s="406"/>
      <c r="J28" s="406"/>
      <c r="K28" s="406"/>
      <c r="L28" s="406"/>
      <c r="M28" s="406"/>
      <c r="N28" s="589"/>
    </row>
    <row r="29" spans="1:14" ht="13.5" customHeight="1" x14ac:dyDescent="0.25">
      <c r="A29" s="142"/>
      <c r="B29" s="405"/>
      <c r="C29" s="405"/>
      <c r="D29" s="405"/>
      <c r="E29" s="405"/>
      <c r="F29" s="405"/>
      <c r="G29" s="406"/>
      <c r="H29" s="406"/>
      <c r="I29" s="406"/>
      <c r="J29" s="406"/>
      <c r="K29" s="406"/>
      <c r="L29" s="406"/>
      <c r="M29" s="406"/>
      <c r="N29" s="589"/>
    </row>
    <row r="30" spans="1:14" ht="13.5" customHeight="1" x14ac:dyDescent="0.25">
      <c r="A30" s="142"/>
      <c r="B30" s="405"/>
      <c r="C30" s="405"/>
      <c r="D30" s="405"/>
      <c r="E30" s="405"/>
      <c r="F30" s="405"/>
      <c r="G30" s="406"/>
      <c r="H30" s="406"/>
      <c r="I30" s="406"/>
      <c r="J30" s="406"/>
      <c r="K30" s="406"/>
      <c r="L30" s="406"/>
      <c r="M30" s="406"/>
      <c r="N30" s="589"/>
    </row>
    <row r="31" spans="1:14" ht="13.5" customHeight="1" x14ac:dyDescent="0.25">
      <c r="A31" s="142"/>
      <c r="B31" s="405"/>
      <c r="C31" s="405"/>
      <c r="D31" s="405"/>
      <c r="E31" s="405"/>
      <c r="F31" s="405"/>
      <c r="G31" s="406"/>
      <c r="H31" s="406"/>
      <c r="I31" s="406"/>
      <c r="J31" s="406"/>
      <c r="K31" s="406"/>
      <c r="L31" s="406"/>
      <c r="M31" s="406"/>
      <c r="N31" s="589"/>
    </row>
    <row r="32" spans="1:14" ht="13.5" customHeight="1" x14ac:dyDescent="0.25">
      <c r="A32" s="142"/>
      <c r="B32" s="405"/>
      <c r="C32" s="405"/>
      <c r="D32" s="405"/>
      <c r="E32" s="405"/>
      <c r="F32" s="405"/>
      <c r="G32" s="406"/>
      <c r="H32" s="406"/>
      <c r="I32" s="406"/>
      <c r="J32" s="406"/>
      <c r="K32" s="406"/>
      <c r="L32" s="406"/>
      <c r="M32" s="406"/>
      <c r="N32" s="589"/>
    </row>
    <row r="33" spans="1:14" ht="13.5" customHeight="1" x14ac:dyDescent="0.25">
      <c r="A33" s="142"/>
      <c r="B33" s="405"/>
      <c r="C33" s="405"/>
      <c r="D33" s="405"/>
      <c r="E33" s="405"/>
      <c r="F33" s="405"/>
      <c r="G33" s="406"/>
      <c r="H33" s="406"/>
      <c r="I33" s="406"/>
      <c r="J33" s="406"/>
      <c r="K33" s="406"/>
      <c r="L33" s="406"/>
      <c r="M33" s="406"/>
      <c r="N33" s="589"/>
    </row>
    <row r="34" spans="1:14" ht="13.5" customHeight="1" x14ac:dyDescent="0.25">
      <c r="A34" s="142"/>
      <c r="B34" s="405"/>
      <c r="C34" s="405"/>
      <c r="D34" s="405"/>
      <c r="E34" s="405"/>
      <c r="F34" s="405"/>
      <c r="G34" s="406"/>
      <c r="H34" s="406"/>
      <c r="I34" s="406"/>
      <c r="J34" s="406"/>
      <c r="K34" s="406"/>
      <c r="L34" s="406"/>
      <c r="M34" s="406"/>
      <c r="N34" s="589"/>
    </row>
    <row r="35" spans="1:14" ht="13.5" customHeight="1" x14ac:dyDescent="0.25">
      <c r="A35" s="142"/>
      <c r="B35" s="405"/>
      <c r="C35" s="405"/>
      <c r="D35" s="405"/>
      <c r="E35" s="405"/>
      <c r="F35" s="405"/>
      <c r="G35" s="406"/>
      <c r="H35" s="406"/>
      <c r="I35" s="406"/>
      <c r="J35" s="406"/>
      <c r="K35" s="406"/>
      <c r="L35" s="406"/>
      <c r="M35" s="406"/>
      <c r="N35" s="589"/>
    </row>
    <row r="36" spans="1:14" ht="13.5" customHeight="1" x14ac:dyDescent="0.25">
      <c r="A36" s="142"/>
      <c r="B36" s="405"/>
      <c r="C36" s="405"/>
      <c r="D36" s="405"/>
      <c r="E36" s="405"/>
      <c r="F36" s="405"/>
      <c r="G36" s="406"/>
      <c r="H36" s="406"/>
      <c r="I36" s="406"/>
      <c r="J36" s="406"/>
      <c r="K36" s="406"/>
      <c r="L36" s="406"/>
      <c r="M36" s="406"/>
      <c r="N36" s="589"/>
    </row>
    <row r="37" spans="1:14" ht="13.5" customHeight="1" thickBot="1" x14ac:dyDescent="0.3">
      <c r="A37" s="144"/>
      <c r="B37" s="408"/>
      <c r="C37" s="408"/>
      <c r="D37" s="408"/>
      <c r="E37" s="408"/>
      <c r="F37" s="408"/>
      <c r="G37" s="409"/>
      <c r="H37" s="409"/>
      <c r="I37" s="409"/>
      <c r="J37" s="409"/>
      <c r="K37" s="409"/>
      <c r="L37" s="409"/>
      <c r="M37" s="409"/>
      <c r="N37" s="590"/>
    </row>
    <row r="38" spans="1:14" ht="13.5" customHeight="1" x14ac:dyDescent="0.25"/>
    <row r="39" spans="1:14" ht="13.5" customHeight="1" x14ac:dyDescent="0.25">
      <c r="I39" s="68"/>
      <c r="J39" s="68"/>
      <c r="K39" s="403"/>
      <c r="L39" s="403"/>
      <c r="M39" s="404"/>
      <c r="N39" s="404"/>
    </row>
  </sheetData>
  <mergeCells count="171">
    <mergeCell ref="I34:J34"/>
    <mergeCell ref="K34:L34"/>
    <mergeCell ref="M34:N34"/>
    <mergeCell ref="I37:J37"/>
    <mergeCell ref="K37:L37"/>
    <mergeCell ref="M37:N37"/>
    <mergeCell ref="I35:J35"/>
    <mergeCell ref="K35:L35"/>
    <mergeCell ref="M35:N35"/>
    <mergeCell ref="I36:J36"/>
    <mergeCell ref="M32:N32"/>
    <mergeCell ref="I33:J33"/>
    <mergeCell ref="K33:L33"/>
    <mergeCell ref="M33:N33"/>
    <mergeCell ref="I32:J32"/>
    <mergeCell ref="K32:L32"/>
    <mergeCell ref="M30:N30"/>
    <mergeCell ref="I31:J31"/>
    <mergeCell ref="K31:L31"/>
    <mergeCell ref="M31:N31"/>
    <mergeCell ref="I30:J30"/>
    <mergeCell ref="K30:L30"/>
    <mergeCell ref="M27:N27"/>
    <mergeCell ref="M28:N28"/>
    <mergeCell ref="I29:J29"/>
    <mergeCell ref="K29:L29"/>
    <mergeCell ref="M29:N29"/>
    <mergeCell ref="I27:J27"/>
    <mergeCell ref="K27:L27"/>
    <mergeCell ref="I28:J28"/>
    <mergeCell ref="K28:L28"/>
    <mergeCell ref="I26:J26"/>
    <mergeCell ref="K26:L26"/>
    <mergeCell ref="M26:N26"/>
    <mergeCell ref="I24:J24"/>
    <mergeCell ref="K24:L24"/>
    <mergeCell ref="M24:N24"/>
    <mergeCell ref="I25:J25"/>
    <mergeCell ref="K25:L25"/>
    <mergeCell ref="M25:N25"/>
    <mergeCell ref="M21:N21"/>
    <mergeCell ref="M22:N22"/>
    <mergeCell ref="I23:J23"/>
    <mergeCell ref="K23:L23"/>
    <mergeCell ref="M23:N23"/>
    <mergeCell ref="I21:J21"/>
    <mergeCell ref="K21:L21"/>
    <mergeCell ref="I22:J22"/>
    <mergeCell ref="K22:L22"/>
    <mergeCell ref="K16:L16"/>
    <mergeCell ref="I20:J20"/>
    <mergeCell ref="K20:L20"/>
    <mergeCell ref="M20:N20"/>
    <mergeCell ref="I18:J18"/>
    <mergeCell ref="K18:L18"/>
    <mergeCell ref="M18:N18"/>
    <mergeCell ref="I19:J19"/>
    <mergeCell ref="K19:L19"/>
    <mergeCell ref="M19:N19"/>
    <mergeCell ref="M13:N13"/>
    <mergeCell ref="G31:H31"/>
    <mergeCell ref="I14:J14"/>
    <mergeCell ref="K14:L14"/>
    <mergeCell ref="M14:N14"/>
    <mergeCell ref="M15:N15"/>
    <mergeCell ref="M16:N16"/>
    <mergeCell ref="I17:J17"/>
    <mergeCell ref="K17:L17"/>
    <mergeCell ref="M17:N17"/>
    <mergeCell ref="B35:F35"/>
    <mergeCell ref="G35:H35"/>
    <mergeCell ref="B34:F34"/>
    <mergeCell ref="G34:H34"/>
    <mergeCell ref="M11:N11"/>
    <mergeCell ref="I12:J12"/>
    <mergeCell ref="K12:L12"/>
    <mergeCell ref="M12:N12"/>
    <mergeCell ref="B28:F28"/>
    <mergeCell ref="G28:H28"/>
    <mergeCell ref="B29:F29"/>
    <mergeCell ref="G29:H29"/>
    <mergeCell ref="G32:H32"/>
    <mergeCell ref="B33:F33"/>
    <mergeCell ref="G33:H33"/>
    <mergeCell ref="B30:F30"/>
    <mergeCell ref="G30:H30"/>
    <mergeCell ref="B31:F31"/>
    <mergeCell ref="B32:F32"/>
    <mergeCell ref="K39:L39"/>
    <mergeCell ref="M39:N39"/>
    <mergeCell ref="B36:F36"/>
    <mergeCell ref="G36:H36"/>
    <mergeCell ref="B37:F37"/>
    <mergeCell ref="G37:H37"/>
    <mergeCell ref="K36:L36"/>
    <mergeCell ref="M36:N36"/>
    <mergeCell ref="B24:F24"/>
    <mergeCell ref="G24:H24"/>
    <mergeCell ref="B27:F27"/>
    <mergeCell ref="G27:H27"/>
    <mergeCell ref="B26:F26"/>
    <mergeCell ref="G26:H26"/>
    <mergeCell ref="B25:F25"/>
    <mergeCell ref="G25:H25"/>
    <mergeCell ref="G18:H18"/>
    <mergeCell ref="B19:F19"/>
    <mergeCell ref="G19:H19"/>
    <mergeCell ref="B20:F20"/>
    <mergeCell ref="G20:H20"/>
    <mergeCell ref="B21:F21"/>
    <mergeCell ref="G21:H21"/>
    <mergeCell ref="B22:F22"/>
    <mergeCell ref="G22:H22"/>
    <mergeCell ref="G13:H13"/>
    <mergeCell ref="B23:F23"/>
    <mergeCell ref="G23:H23"/>
    <mergeCell ref="B15:F15"/>
    <mergeCell ref="G15:H15"/>
    <mergeCell ref="B16:F16"/>
    <mergeCell ref="G16:H16"/>
    <mergeCell ref="B17:F17"/>
    <mergeCell ref="G17:H17"/>
    <mergeCell ref="B13:F13"/>
    <mergeCell ref="M10:N10"/>
    <mergeCell ref="I9:J9"/>
    <mergeCell ref="M9:N9"/>
    <mergeCell ref="B14:F14"/>
    <mergeCell ref="G14:H14"/>
    <mergeCell ref="B11:F11"/>
    <mergeCell ref="G11:H11"/>
    <mergeCell ref="B12:F12"/>
    <mergeCell ref="G12:H12"/>
    <mergeCell ref="I11:J11"/>
    <mergeCell ref="K9:L9"/>
    <mergeCell ref="I10:J10"/>
    <mergeCell ref="K10:L10"/>
    <mergeCell ref="B18:F18"/>
    <mergeCell ref="K11:L11"/>
    <mergeCell ref="I13:J13"/>
    <mergeCell ref="K13:L13"/>
    <mergeCell ref="I15:J15"/>
    <mergeCell ref="K15:L15"/>
    <mergeCell ref="I16:J16"/>
    <mergeCell ref="B10:F10"/>
    <mergeCell ref="G10:H10"/>
    <mergeCell ref="I5:J5"/>
    <mergeCell ref="B9:F9"/>
    <mergeCell ref="G9:H9"/>
    <mergeCell ref="A8:N8"/>
    <mergeCell ref="G5:H5"/>
    <mergeCell ref="G6:H6"/>
    <mergeCell ref="A7:B7"/>
    <mergeCell ref="C7:N7"/>
    <mergeCell ref="I6:N6"/>
    <mergeCell ref="M5:N5"/>
    <mergeCell ref="K5:L5"/>
    <mergeCell ref="M2:N2"/>
    <mergeCell ref="M4:N4"/>
    <mergeCell ref="M3:N3"/>
    <mergeCell ref="G4:H4"/>
    <mergeCell ref="G3:H3"/>
    <mergeCell ref="I4:J4"/>
    <mergeCell ref="K4:L4"/>
    <mergeCell ref="I3:J3"/>
    <mergeCell ref="K3:L3"/>
    <mergeCell ref="G1:H1"/>
    <mergeCell ref="I1:J1"/>
    <mergeCell ref="K1:L1"/>
    <mergeCell ref="I2:J2"/>
    <mergeCell ref="K2:L2"/>
    <mergeCell ref="G2:H2"/>
  </mergeCells>
  <phoneticPr fontId="0" type="noConversion"/>
  <dataValidations count="4">
    <dataValidation type="list" errorStyle="warning" allowBlank="1" showInputMessage="1" showErrorMessage="1" errorTitle="Unlisted" error="You have entered an unlisted item.  Please make sure the item entered is correct." sqref="B11:F37" xr:uid="{8C2225E9-09D1-4B7C-80C2-AFF579A76451}">
      <formula1>Louvers</formula1>
    </dataValidation>
    <dataValidation type="list" allowBlank="1" showInputMessage="1" showErrorMessage="1" sqref="G11:H37" xr:uid="{C3C81E71-D672-43C7-8662-97929C6DDC84}">
      <formula1>Screen</formula1>
    </dataValidation>
    <dataValidation type="list" allowBlank="1" showInputMessage="1" showErrorMessage="1" sqref="I11:J37" xr:uid="{70B7E0DF-DCF8-4B86-BA4E-77B1F9779E5B}">
      <formula1>FinType</formula1>
    </dataValidation>
    <dataValidation type="list" errorStyle="warning" allowBlank="1" showInputMessage="1" showErrorMessage="1" errorTitle="Unlisted" error="You have entered an unlisted item.  Please make sure the item entered is correct." sqref="M11:N37" xr:uid="{4C06D6DE-2A21-4653-B2EB-C571F6ECEF77}">
      <formula1>Colors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1CDB-FF58-426A-A90F-3D24512A3248}">
  <sheetPr codeName="Sheet95"/>
  <dimension ref="A1:P39"/>
  <sheetViews>
    <sheetView workbookViewId="0">
      <selection activeCell="M2" sqref="M2:N2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1352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422" t="s">
        <v>239</v>
      </c>
      <c r="C9" s="424"/>
      <c r="D9" s="422" t="s">
        <v>240</v>
      </c>
      <c r="E9" s="423"/>
      <c r="F9" s="423"/>
      <c r="G9" s="423"/>
      <c r="H9" s="423"/>
      <c r="I9" s="423"/>
      <c r="J9" s="424"/>
      <c r="K9" s="416" t="s">
        <v>242</v>
      </c>
      <c r="L9" s="417"/>
      <c r="M9" s="423" t="s">
        <v>327</v>
      </c>
      <c r="N9" s="424"/>
    </row>
    <row r="10" spans="1:16" ht="13.5" customHeight="1" x14ac:dyDescent="0.25">
      <c r="A10" s="160"/>
      <c r="B10" s="461"/>
      <c r="C10" s="531"/>
      <c r="D10" s="461"/>
      <c r="E10" s="462"/>
      <c r="F10" s="462"/>
      <c r="G10" s="462"/>
      <c r="H10" s="462"/>
      <c r="I10" s="462"/>
      <c r="J10" s="531"/>
      <c r="K10" s="461"/>
      <c r="L10" s="531"/>
      <c r="M10" s="462"/>
      <c r="N10" s="591"/>
    </row>
    <row r="11" spans="1:16" ht="13.5" customHeight="1" x14ac:dyDescent="0.25">
      <c r="A11" s="142" t="str">
        <f>"@Data"</f>
        <v>@Data</v>
      </c>
      <c r="B11" s="405"/>
      <c r="C11" s="405"/>
      <c r="D11" s="442"/>
      <c r="E11" s="532"/>
      <c r="F11" s="532"/>
      <c r="G11" s="532"/>
      <c r="H11" s="532"/>
      <c r="I11" s="532"/>
      <c r="J11" s="443"/>
      <c r="K11" s="442"/>
      <c r="L11" s="443"/>
      <c r="M11" s="440"/>
      <c r="N11" s="441"/>
    </row>
    <row r="12" spans="1:16" ht="13.5" customHeight="1" x14ac:dyDescent="0.25">
      <c r="A12" s="142"/>
      <c r="B12" s="405"/>
      <c r="C12" s="405"/>
      <c r="D12" s="442"/>
      <c r="E12" s="532"/>
      <c r="F12" s="532"/>
      <c r="G12" s="532"/>
      <c r="H12" s="532"/>
      <c r="I12" s="532"/>
      <c r="J12" s="443"/>
      <c r="K12" s="442"/>
      <c r="L12" s="443"/>
      <c r="M12" s="440"/>
      <c r="N12" s="441"/>
    </row>
    <row r="13" spans="1:16" ht="13.5" customHeight="1" x14ac:dyDescent="0.25">
      <c r="A13" s="142"/>
      <c r="B13" s="405"/>
      <c r="C13" s="405"/>
      <c r="D13" s="442"/>
      <c r="E13" s="532"/>
      <c r="F13" s="532"/>
      <c r="G13" s="532"/>
      <c r="H13" s="532"/>
      <c r="I13" s="532"/>
      <c r="J13" s="443"/>
      <c r="K13" s="442"/>
      <c r="L13" s="443"/>
      <c r="M13" s="440"/>
      <c r="N13" s="441"/>
    </row>
    <row r="14" spans="1:16" ht="13.5" customHeight="1" x14ac:dyDescent="0.25">
      <c r="A14" s="142"/>
      <c r="B14" s="405"/>
      <c r="C14" s="405"/>
      <c r="D14" s="442"/>
      <c r="E14" s="532"/>
      <c r="F14" s="532"/>
      <c r="G14" s="532"/>
      <c r="H14" s="532"/>
      <c r="I14" s="532"/>
      <c r="J14" s="443"/>
      <c r="K14" s="442"/>
      <c r="L14" s="443"/>
      <c r="M14" s="440"/>
      <c r="N14" s="441"/>
    </row>
    <row r="15" spans="1:16" ht="13.5" customHeight="1" x14ac:dyDescent="0.25">
      <c r="A15" s="142"/>
      <c r="B15" s="405"/>
      <c r="C15" s="405"/>
      <c r="D15" s="442"/>
      <c r="E15" s="532"/>
      <c r="F15" s="532"/>
      <c r="G15" s="532"/>
      <c r="H15" s="532"/>
      <c r="I15" s="532"/>
      <c r="J15" s="443"/>
      <c r="K15" s="442"/>
      <c r="L15" s="443"/>
      <c r="M15" s="440"/>
      <c r="N15" s="441"/>
    </row>
    <row r="16" spans="1:16" ht="13.5" customHeight="1" x14ac:dyDescent="0.25">
      <c r="A16" s="142"/>
      <c r="B16" s="405"/>
      <c r="C16" s="405"/>
      <c r="D16" s="442"/>
      <c r="E16" s="532"/>
      <c r="F16" s="532"/>
      <c r="G16" s="532"/>
      <c r="H16" s="532"/>
      <c r="I16" s="532"/>
      <c r="J16" s="443"/>
      <c r="K16" s="442"/>
      <c r="L16" s="443"/>
      <c r="M16" s="440"/>
      <c r="N16" s="441"/>
    </row>
    <row r="17" spans="1:14" ht="13.5" customHeight="1" x14ac:dyDescent="0.25">
      <c r="A17" s="142"/>
      <c r="B17" s="405"/>
      <c r="C17" s="405"/>
      <c r="D17" s="442"/>
      <c r="E17" s="532"/>
      <c r="F17" s="532"/>
      <c r="G17" s="532"/>
      <c r="H17" s="532"/>
      <c r="I17" s="532"/>
      <c r="J17" s="443"/>
      <c r="K17" s="442"/>
      <c r="L17" s="443"/>
      <c r="M17" s="440"/>
      <c r="N17" s="441"/>
    </row>
    <row r="18" spans="1:14" ht="13.5" customHeight="1" x14ac:dyDescent="0.25">
      <c r="A18" s="142"/>
      <c r="B18" s="405"/>
      <c r="C18" s="405"/>
      <c r="D18" s="442"/>
      <c r="E18" s="532"/>
      <c r="F18" s="532"/>
      <c r="G18" s="532"/>
      <c r="H18" s="532"/>
      <c r="I18" s="532"/>
      <c r="J18" s="443"/>
      <c r="K18" s="442"/>
      <c r="L18" s="443"/>
      <c r="M18" s="440"/>
      <c r="N18" s="441"/>
    </row>
    <row r="19" spans="1:14" ht="13.5" customHeight="1" x14ac:dyDescent="0.25">
      <c r="A19" s="142"/>
      <c r="B19" s="405"/>
      <c r="C19" s="405"/>
      <c r="D19" s="442"/>
      <c r="E19" s="532"/>
      <c r="F19" s="532"/>
      <c r="G19" s="532"/>
      <c r="H19" s="532"/>
      <c r="I19" s="532"/>
      <c r="J19" s="443"/>
      <c r="K19" s="442"/>
      <c r="L19" s="443"/>
      <c r="M19" s="440"/>
      <c r="N19" s="441"/>
    </row>
    <row r="20" spans="1:14" ht="13.5" customHeight="1" x14ac:dyDescent="0.25">
      <c r="A20" s="142"/>
      <c r="B20" s="405"/>
      <c r="C20" s="405"/>
      <c r="D20" s="442"/>
      <c r="E20" s="532"/>
      <c r="F20" s="532"/>
      <c r="G20" s="532"/>
      <c r="H20" s="532"/>
      <c r="I20" s="532"/>
      <c r="J20" s="443"/>
      <c r="K20" s="442"/>
      <c r="L20" s="443"/>
      <c r="M20" s="440"/>
      <c r="N20" s="441"/>
    </row>
    <row r="21" spans="1:14" s="2" customFormat="1" ht="13.5" customHeight="1" x14ac:dyDescent="0.25">
      <c r="A21" s="142"/>
      <c r="B21" s="405"/>
      <c r="C21" s="405"/>
      <c r="D21" s="442"/>
      <c r="E21" s="532"/>
      <c r="F21" s="532"/>
      <c r="G21" s="532"/>
      <c r="H21" s="532"/>
      <c r="I21" s="532"/>
      <c r="J21" s="443"/>
      <c r="K21" s="442"/>
      <c r="L21" s="443"/>
      <c r="M21" s="440"/>
      <c r="N21" s="441"/>
    </row>
    <row r="22" spans="1:14" ht="13.5" customHeight="1" x14ac:dyDescent="0.25">
      <c r="A22" s="142"/>
      <c r="B22" s="405"/>
      <c r="C22" s="405"/>
      <c r="D22" s="442"/>
      <c r="E22" s="532"/>
      <c r="F22" s="532"/>
      <c r="G22" s="532"/>
      <c r="H22" s="532"/>
      <c r="I22" s="532"/>
      <c r="J22" s="443"/>
      <c r="K22" s="442"/>
      <c r="L22" s="443"/>
      <c r="M22" s="440"/>
      <c r="N22" s="441"/>
    </row>
    <row r="23" spans="1:14" ht="13.5" customHeight="1" x14ac:dyDescent="0.25">
      <c r="A23" s="142"/>
      <c r="B23" s="405"/>
      <c r="C23" s="405"/>
      <c r="D23" s="442"/>
      <c r="E23" s="532"/>
      <c r="F23" s="532"/>
      <c r="G23" s="532"/>
      <c r="H23" s="532"/>
      <c r="I23" s="532"/>
      <c r="J23" s="443"/>
      <c r="K23" s="442"/>
      <c r="L23" s="443"/>
      <c r="M23" s="440"/>
      <c r="N23" s="441"/>
    </row>
    <row r="24" spans="1:14" ht="13.5" customHeight="1" x14ac:dyDescent="0.25">
      <c r="A24" s="142"/>
      <c r="B24" s="405"/>
      <c r="C24" s="405"/>
      <c r="D24" s="442"/>
      <c r="E24" s="532"/>
      <c r="F24" s="532"/>
      <c r="G24" s="532"/>
      <c r="H24" s="532"/>
      <c r="I24" s="532"/>
      <c r="J24" s="443"/>
      <c r="K24" s="442"/>
      <c r="L24" s="443"/>
      <c r="M24" s="440"/>
      <c r="N24" s="441"/>
    </row>
    <row r="25" spans="1:14" ht="13.5" customHeight="1" x14ac:dyDescent="0.25">
      <c r="A25" s="142"/>
      <c r="B25" s="405"/>
      <c r="C25" s="405"/>
      <c r="D25" s="442"/>
      <c r="E25" s="532"/>
      <c r="F25" s="532"/>
      <c r="G25" s="532"/>
      <c r="H25" s="532"/>
      <c r="I25" s="532"/>
      <c r="J25" s="443"/>
      <c r="K25" s="442"/>
      <c r="L25" s="443"/>
      <c r="M25" s="440"/>
      <c r="N25" s="441"/>
    </row>
    <row r="26" spans="1:14" ht="13.5" customHeight="1" x14ac:dyDescent="0.25">
      <c r="A26" s="142"/>
      <c r="B26" s="405"/>
      <c r="C26" s="405"/>
      <c r="D26" s="442"/>
      <c r="E26" s="532"/>
      <c r="F26" s="532"/>
      <c r="G26" s="532"/>
      <c r="H26" s="532"/>
      <c r="I26" s="532"/>
      <c r="J26" s="443"/>
      <c r="K26" s="442"/>
      <c r="L26" s="443"/>
      <c r="M26" s="440"/>
      <c r="N26" s="441"/>
    </row>
    <row r="27" spans="1:14" ht="13.5" customHeight="1" x14ac:dyDescent="0.25">
      <c r="A27" s="142"/>
      <c r="B27" s="405"/>
      <c r="C27" s="405"/>
      <c r="D27" s="442"/>
      <c r="E27" s="532"/>
      <c r="F27" s="532"/>
      <c r="G27" s="532"/>
      <c r="H27" s="532"/>
      <c r="I27" s="532"/>
      <c r="J27" s="443"/>
      <c r="K27" s="442"/>
      <c r="L27" s="443"/>
      <c r="M27" s="440"/>
      <c r="N27" s="441"/>
    </row>
    <row r="28" spans="1:14" ht="13.5" customHeight="1" x14ac:dyDescent="0.25">
      <c r="A28" s="142"/>
      <c r="B28" s="405"/>
      <c r="C28" s="405"/>
      <c r="D28" s="442"/>
      <c r="E28" s="532"/>
      <c r="F28" s="532"/>
      <c r="G28" s="532"/>
      <c r="H28" s="532"/>
      <c r="I28" s="532"/>
      <c r="J28" s="443"/>
      <c r="K28" s="442"/>
      <c r="L28" s="443"/>
      <c r="M28" s="440"/>
      <c r="N28" s="441"/>
    </row>
    <row r="29" spans="1:14" ht="13.5" customHeight="1" x14ac:dyDescent="0.25">
      <c r="A29" s="142"/>
      <c r="B29" s="405"/>
      <c r="C29" s="405"/>
      <c r="D29" s="442"/>
      <c r="E29" s="532"/>
      <c r="F29" s="532"/>
      <c r="G29" s="532"/>
      <c r="H29" s="532"/>
      <c r="I29" s="532"/>
      <c r="J29" s="443"/>
      <c r="K29" s="442"/>
      <c r="L29" s="443"/>
      <c r="M29" s="440"/>
      <c r="N29" s="441"/>
    </row>
    <row r="30" spans="1:14" ht="13.5" customHeight="1" x14ac:dyDescent="0.25">
      <c r="A30" s="142"/>
      <c r="B30" s="405"/>
      <c r="C30" s="405"/>
      <c r="D30" s="442"/>
      <c r="E30" s="532"/>
      <c r="F30" s="532"/>
      <c r="G30" s="532"/>
      <c r="H30" s="532"/>
      <c r="I30" s="532"/>
      <c r="J30" s="443"/>
      <c r="K30" s="442"/>
      <c r="L30" s="443"/>
      <c r="M30" s="440"/>
      <c r="N30" s="441"/>
    </row>
    <row r="31" spans="1:14" ht="13.5" customHeight="1" x14ac:dyDescent="0.25">
      <c r="A31" s="142"/>
      <c r="B31" s="405"/>
      <c r="C31" s="405"/>
      <c r="D31" s="442"/>
      <c r="E31" s="532"/>
      <c r="F31" s="532"/>
      <c r="G31" s="532"/>
      <c r="H31" s="532"/>
      <c r="I31" s="532"/>
      <c r="J31" s="443"/>
      <c r="K31" s="442"/>
      <c r="L31" s="443"/>
      <c r="M31" s="440"/>
      <c r="N31" s="441"/>
    </row>
    <row r="32" spans="1:14" ht="13.5" customHeight="1" x14ac:dyDescent="0.25">
      <c r="A32" s="142"/>
      <c r="B32" s="405"/>
      <c r="C32" s="405"/>
      <c r="D32" s="442"/>
      <c r="E32" s="532"/>
      <c r="F32" s="532"/>
      <c r="G32" s="532"/>
      <c r="H32" s="532"/>
      <c r="I32" s="532"/>
      <c r="J32" s="443"/>
      <c r="K32" s="442"/>
      <c r="L32" s="443"/>
      <c r="M32" s="440"/>
      <c r="N32" s="441"/>
    </row>
    <row r="33" spans="1:14" ht="13.5" customHeight="1" x14ac:dyDescent="0.25">
      <c r="A33" s="142"/>
      <c r="B33" s="405"/>
      <c r="C33" s="405"/>
      <c r="D33" s="442"/>
      <c r="E33" s="532"/>
      <c r="F33" s="532"/>
      <c r="G33" s="532"/>
      <c r="H33" s="532"/>
      <c r="I33" s="532"/>
      <c r="J33" s="443"/>
      <c r="K33" s="442"/>
      <c r="L33" s="443"/>
      <c r="M33" s="440"/>
      <c r="N33" s="441"/>
    </row>
    <row r="34" spans="1:14" ht="13.5" customHeight="1" x14ac:dyDescent="0.25">
      <c r="A34" s="142"/>
      <c r="B34" s="405"/>
      <c r="C34" s="405"/>
      <c r="D34" s="442"/>
      <c r="E34" s="532"/>
      <c r="F34" s="532"/>
      <c r="G34" s="532"/>
      <c r="H34" s="532"/>
      <c r="I34" s="532"/>
      <c r="J34" s="443"/>
      <c r="K34" s="442"/>
      <c r="L34" s="443"/>
      <c r="M34" s="440"/>
      <c r="N34" s="441"/>
    </row>
    <row r="35" spans="1:14" ht="13.5" customHeight="1" x14ac:dyDescent="0.25">
      <c r="A35" s="142"/>
      <c r="B35" s="405"/>
      <c r="C35" s="405"/>
      <c r="D35" s="442"/>
      <c r="E35" s="532"/>
      <c r="F35" s="532"/>
      <c r="G35" s="532"/>
      <c r="H35" s="532"/>
      <c r="I35" s="532"/>
      <c r="J35" s="443"/>
      <c r="K35" s="442"/>
      <c r="L35" s="443"/>
      <c r="M35" s="440"/>
      <c r="N35" s="441"/>
    </row>
    <row r="36" spans="1:14" ht="13.5" customHeight="1" x14ac:dyDescent="0.25">
      <c r="A36" s="142"/>
      <c r="B36" s="405"/>
      <c r="C36" s="405"/>
      <c r="D36" s="442"/>
      <c r="E36" s="532"/>
      <c r="F36" s="532"/>
      <c r="G36" s="532"/>
      <c r="H36" s="532"/>
      <c r="I36" s="532"/>
      <c r="J36" s="443"/>
      <c r="K36" s="442"/>
      <c r="L36" s="443"/>
      <c r="M36" s="440"/>
      <c r="N36" s="441"/>
    </row>
    <row r="37" spans="1:14" ht="13.5" customHeight="1" thickBot="1" x14ac:dyDescent="0.3">
      <c r="A37" s="144"/>
      <c r="B37" s="408"/>
      <c r="C37" s="408"/>
      <c r="D37" s="450"/>
      <c r="E37" s="533"/>
      <c r="F37" s="533"/>
      <c r="G37" s="533"/>
      <c r="H37" s="533"/>
      <c r="I37" s="533"/>
      <c r="J37" s="451"/>
      <c r="K37" s="450"/>
      <c r="L37" s="451"/>
      <c r="M37" s="453"/>
      <c r="N37" s="454"/>
    </row>
    <row r="38" spans="1:14" ht="13.5" customHeight="1" x14ac:dyDescent="0.25"/>
    <row r="39" spans="1:14" ht="13.5" customHeight="1" x14ac:dyDescent="0.25">
      <c r="I39" s="68"/>
      <c r="J39" s="68"/>
      <c r="K39" s="403"/>
      <c r="L39" s="403"/>
      <c r="M39" s="404"/>
      <c r="N39" s="404"/>
    </row>
  </sheetData>
  <mergeCells count="142">
    <mergeCell ref="K35:L35"/>
    <mergeCell ref="M35:N35"/>
    <mergeCell ref="B36:C36"/>
    <mergeCell ref="D36:J36"/>
    <mergeCell ref="B35:C35"/>
    <mergeCell ref="D35:J35"/>
    <mergeCell ref="B34:C34"/>
    <mergeCell ref="D34:J34"/>
    <mergeCell ref="K39:L39"/>
    <mergeCell ref="M39:N39"/>
    <mergeCell ref="K36:L36"/>
    <mergeCell ref="M36:N36"/>
    <mergeCell ref="K37:L37"/>
    <mergeCell ref="M37:N37"/>
    <mergeCell ref="B37:C37"/>
    <mergeCell ref="D37:J37"/>
    <mergeCell ref="K29:L29"/>
    <mergeCell ref="M29:N29"/>
    <mergeCell ref="B32:C32"/>
    <mergeCell ref="D32:J32"/>
    <mergeCell ref="B33:C33"/>
    <mergeCell ref="D33:J33"/>
    <mergeCell ref="B31:C31"/>
    <mergeCell ref="D31:J31"/>
    <mergeCell ref="B29:C29"/>
    <mergeCell ref="D29:J29"/>
    <mergeCell ref="B30:C30"/>
    <mergeCell ref="D30:J30"/>
    <mergeCell ref="K34:L34"/>
    <mergeCell ref="M34:N34"/>
    <mergeCell ref="K31:L31"/>
    <mergeCell ref="M31:N31"/>
    <mergeCell ref="K32:L32"/>
    <mergeCell ref="M32:N32"/>
    <mergeCell ref="K33:L33"/>
    <mergeCell ref="M33:N33"/>
    <mergeCell ref="K30:L30"/>
    <mergeCell ref="M30:N30"/>
    <mergeCell ref="B27:C27"/>
    <mergeCell ref="D27:J27"/>
    <mergeCell ref="K27:L27"/>
    <mergeCell ref="M27:N27"/>
    <mergeCell ref="B28:C28"/>
    <mergeCell ref="D28:J28"/>
    <mergeCell ref="K28:L28"/>
    <mergeCell ref="M28:N28"/>
    <mergeCell ref="B25:C25"/>
    <mergeCell ref="D25:J25"/>
    <mergeCell ref="K25:L25"/>
    <mergeCell ref="M25:N25"/>
    <mergeCell ref="B26:C26"/>
    <mergeCell ref="D26:J26"/>
    <mergeCell ref="K26:L26"/>
    <mergeCell ref="M26:N26"/>
    <mergeCell ref="B23:C23"/>
    <mergeCell ref="D23:J23"/>
    <mergeCell ref="K23:L23"/>
    <mergeCell ref="M23:N23"/>
    <mergeCell ref="B24:C24"/>
    <mergeCell ref="D24:J24"/>
    <mergeCell ref="K24:L24"/>
    <mergeCell ref="M24:N24"/>
    <mergeCell ref="B21:C21"/>
    <mergeCell ref="D21:J21"/>
    <mergeCell ref="K21:L21"/>
    <mergeCell ref="M21:N21"/>
    <mergeCell ref="B22:C22"/>
    <mergeCell ref="D22:J22"/>
    <mergeCell ref="K22:L22"/>
    <mergeCell ref="M22:N22"/>
    <mergeCell ref="B19:C19"/>
    <mergeCell ref="D19:J19"/>
    <mergeCell ref="K19:L19"/>
    <mergeCell ref="M19:N19"/>
    <mergeCell ref="B20:C20"/>
    <mergeCell ref="D20:J20"/>
    <mergeCell ref="K20:L20"/>
    <mergeCell ref="M20:N20"/>
    <mergeCell ref="B17:C17"/>
    <mergeCell ref="D17:J17"/>
    <mergeCell ref="K17:L17"/>
    <mergeCell ref="M17:N17"/>
    <mergeCell ref="B18:C18"/>
    <mergeCell ref="D18:J18"/>
    <mergeCell ref="K18:L18"/>
    <mergeCell ref="M18:N18"/>
    <mergeCell ref="B15:C15"/>
    <mergeCell ref="D15:J15"/>
    <mergeCell ref="K15:L15"/>
    <mergeCell ref="M15:N15"/>
    <mergeCell ref="B16:C16"/>
    <mergeCell ref="D16:J16"/>
    <mergeCell ref="K16:L16"/>
    <mergeCell ref="M16:N16"/>
    <mergeCell ref="M13:N13"/>
    <mergeCell ref="B14:C14"/>
    <mergeCell ref="D14:J14"/>
    <mergeCell ref="K14:L14"/>
    <mergeCell ref="M14:N14"/>
    <mergeCell ref="B13:C13"/>
    <mergeCell ref="D13:J13"/>
    <mergeCell ref="K13:L13"/>
    <mergeCell ref="B12:C12"/>
    <mergeCell ref="D12:J12"/>
    <mergeCell ref="K12:L12"/>
    <mergeCell ref="M12:N12"/>
    <mergeCell ref="B11:C11"/>
    <mergeCell ref="D11:J11"/>
    <mergeCell ref="K11:L11"/>
    <mergeCell ref="M11:N11"/>
    <mergeCell ref="G4:H4"/>
    <mergeCell ref="G3:H3"/>
    <mergeCell ref="I4:J4"/>
    <mergeCell ref="I6:N6"/>
    <mergeCell ref="G5:H5"/>
    <mergeCell ref="G6:H6"/>
    <mergeCell ref="I5:J5"/>
    <mergeCell ref="K5:L5"/>
    <mergeCell ref="M10:N10"/>
    <mergeCell ref="M9:N9"/>
    <mergeCell ref="B9:C9"/>
    <mergeCell ref="D9:J9"/>
    <mergeCell ref="K9:L9"/>
    <mergeCell ref="B10:C10"/>
    <mergeCell ref="D10:J10"/>
    <mergeCell ref="K10:L10"/>
    <mergeCell ref="G1:H1"/>
    <mergeCell ref="I1:J1"/>
    <mergeCell ref="K1:L1"/>
    <mergeCell ref="I2:J2"/>
    <mergeCell ref="K2:L2"/>
    <mergeCell ref="G2:H2"/>
    <mergeCell ref="A8:N8"/>
    <mergeCell ref="A7:B7"/>
    <mergeCell ref="C7:N7"/>
    <mergeCell ref="M2:N2"/>
    <mergeCell ref="K4:L4"/>
    <mergeCell ref="I3:J3"/>
    <mergeCell ref="K3:L3"/>
    <mergeCell ref="M3:N3"/>
    <mergeCell ref="M4:N4"/>
    <mergeCell ref="M5:N5"/>
  </mergeCells>
  <phoneticPr fontId="0" type="noConversion"/>
  <dataValidations count="1">
    <dataValidation type="list" allowBlank="1" showInputMessage="1" showErrorMessage="1" sqref="K11:L37" xr:uid="{1BBF6608-8542-4CE8-B7A7-EFFAF612CF43}">
      <formula1>Colors</formula1>
    </dataValidation>
  </dataValidations>
  <pageMargins left="0.25" right="0.25" top="0.25" bottom="0.25" header="0.5" footer="0.5"/>
  <pageSetup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3662-43B3-4E02-A8E5-CBB51A479AB1}">
  <sheetPr codeName="Sheet109"/>
  <dimension ref="A1:P39"/>
  <sheetViews>
    <sheetView workbookViewId="0">
      <selection activeCell="G11" sqref="G11:H11"/>
    </sheetView>
  </sheetViews>
  <sheetFormatPr defaultRowHeight="13.2" x14ac:dyDescent="0.25"/>
  <cols>
    <col min="1" max="14" width="9.77734375" customWidth="1"/>
  </cols>
  <sheetData>
    <row r="1" spans="1:16" ht="19.5" customHeight="1" x14ac:dyDescent="0.25">
      <c r="A1" s="83"/>
      <c r="B1" s="84"/>
      <c r="C1" s="84"/>
      <c r="D1" s="84"/>
      <c r="E1" s="84"/>
      <c r="F1" s="85"/>
      <c r="G1" s="437"/>
      <c r="H1" s="438"/>
      <c r="I1" s="438" t="s">
        <v>1351</v>
      </c>
      <c r="J1" s="438"/>
      <c r="K1" s="439" t="str">
        <f xml:space="preserve"> "@PgNo"</f>
        <v>@PgNo</v>
      </c>
      <c r="L1" s="439"/>
      <c r="M1" s="179" t="s">
        <v>257</v>
      </c>
      <c r="N1" s="180">
        <f>Cover!$M$22</f>
        <v>10</v>
      </c>
    </row>
    <row r="2" spans="1:16" ht="19.5" customHeight="1" x14ac:dyDescent="0.25">
      <c r="A2" s="86"/>
      <c r="B2" s="61"/>
      <c r="C2" s="61"/>
      <c r="D2" s="61"/>
      <c r="E2" s="61"/>
      <c r="F2" s="87"/>
      <c r="G2" s="425" t="s">
        <v>260</v>
      </c>
      <c r="H2" s="436"/>
      <c r="I2" s="426" t="str">
        <f>Cover!$G$24</f>
        <v>403184_Secondary</v>
      </c>
      <c r="J2" s="426"/>
      <c r="K2" s="426" t="s">
        <v>1346</v>
      </c>
      <c r="L2" s="426"/>
      <c r="M2" s="427">
        <f>Cover!$G$27</f>
        <v>45985</v>
      </c>
      <c r="N2" s="435"/>
    </row>
    <row r="3" spans="1:16" ht="19.5" customHeight="1" x14ac:dyDescent="0.25">
      <c r="A3" s="86"/>
      <c r="B3" s="61"/>
      <c r="C3" s="61"/>
      <c r="D3" s="61"/>
      <c r="E3" s="61"/>
      <c r="F3" s="87"/>
      <c r="G3" s="425" t="s">
        <v>259</v>
      </c>
      <c r="H3" s="426"/>
      <c r="I3" s="426"/>
      <c r="J3" s="426"/>
      <c r="K3" s="428" t="s">
        <v>1347</v>
      </c>
      <c r="L3" s="428"/>
      <c r="M3" s="428"/>
      <c r="N3" s="429"/>
      <c r="P3" s="36"/>
    </row>
    <row r="4" spans="1:16" ht="19.5" customHeight="1" x14ac:dyDescent="0.25">
      <c r="A4" s="86"/>
      <c r="B4" s="61"/>
      <c r="C4" s="61"/>
      <c r="D4" s="61"/>
      <c r="E4" s="61"/>
      <c r="F4" s="87"/>
      <c r="G4" s="425" t="s">
        <v>261</v>
      </c>
      <c r="H4" s="436"/>
      <c r="I4" s="426" t="str">
        <f>Cover!$M$36</f>
        <v xml:space="preserve">     </v>
      </c>
      <c r="J4" s="426"/>
      <c r="K4" s="427" t="s">
        <v>1350</v>
      </c>
      <c r="L4" s="427"/>
      <c r="M4" s="428"/>
      <c r="N4" s="429"/>
    </row>
    <row r="5" spans="1:16" ht="19.5" customHeight="1" x14ac:dyDescent="0.25">
      <c r="A5" s="86"/>
      <c r="B5" s="61"/>
      <c r="C5" s="61"/>
      <c r="D5" s="61"/>
      <c r="E5" s="61"/>
      <c r="F5" s="87"/>
      <c r="G5" s="425" t="s">
        <v>262</v>
      </c>
      <c r="H5" s="426"/>
      <c r="I5" s="427" t="str">
        <f xml:space="preserve"> Cover!$M$37</f>
        <v xml:space="preserve">     </v>
      </c>
      <c r="J5" s="427"/>
      <c r="K5" s="428" t="s">
        <v>1349</v>
      </c>
      <c r="L5" s="428"/>
      <c r="M5" s="428"/>
      <c r="N5" s="429"/>
    </row>
    <row r="6" spans="1:16" ht="19.5" customHeight="1" thickBot="1" x14ac:dyDescent="0.3">
      <c r="A6" s="88"/>
      <c r="B6" s="89"/>
      <c r="C6" s="89"/>
      <c r="D6" s="89"/>
      <c r="E6" s="89"/>
      <c r="F6" s="90"/>
      <c r="G6" s="430" t="s">
        <v>1348</v>
      </c>
      <c r="H6" s="431"/>
      <c r="I6" s="432" t="str">
        <f>Cover!$G$32</f>
        <v xml:space="preserve">     </v>
      </c>
      <c r="J6" s="433"/>
      <c r="K6" s="433"/>
      <c r="L6" s="433"/>
      <c r="M6" s="433"/>
      <c r="N6" s="434"/>
    </row>
    <row r="7" spans="1:16" ht="19.5" customHeight="1" thickBot="1" x14ac:dyDescent="0.3">
      <c r="A7" s="416" t="s">
        <v>258</v>
      </c>
      <c r="B7" s="417"/>
      <c r="C7" s="418">
        <f>Cover!$G$28</f>
        <v>0</v>
      </c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20"/>
    </row>
    <row r="8" spans="1:16" ht="19.5" customHeight="1" thickBot="1" x14ac:dyDescent="0.3">
      <c r="A8" s="416" t="s">
        <v>1634</v>
      </c>
      <c r="B8" s="421"/>
      <c r="C8" s="421"/>
      <c r="D8" s="421"/>
      <c r="E8" s="421"/>
      <c r="F8" s="421"/>
      <c r="G8" s="421"/>
      <c r="H8" s="421"/>
      <c r="I8" s="421"/>
      <c r="J8" s="421"/>
      <c r="K8" s="421"/>
      <c r="L8" s="421"/>
      <c r="M8" s="421"/>
      <c r="N8" s="417"/>
      <c r="O8" s="37"/>
      <c r="P8" s="37"/>
    </row>
    <row r="9" spans="1:16" ht="22.5" customHeight="1" thickBot="1" x14ac:dyDescent="0.3">
      <c r="A9" s="38" t="s">
        <v>238</v>
      </c>
      <c r="B9" s="38" t="s">
        <v>239</v>
      </c>
      <c r="C9" s="422" t="s">
        <v>240</v>
      </c>
      <c r="D9" s="423"/>
      <c r="E9" s="423"/>
      <c r="F9" s="424"/>
      <c r="G9" s="422" t="s">
        <v>242</v>
      </c>
      <c r="H9" s="424"/>
      <c r="I9" s="422" t="s">
        <v>1635</v>
      </c>
      <c r="J9" s="424"/>
      <c r="K9" s="416" t="s">
        <v>241</v>
      </c>
      <c r="L9" s="417"/>
      <c r="M9" s="423" t="s">
        <v>327</v>
      </c>
      <c r="N9" s="424"/>
    </row>
    <row r="10" spans="1:16" ht="13.5" customHeight="1" x14ac:dyDescent="0.25">
      <c r="A10" s="160"/>
      <c r="B10" s="232"/>
      <c r="C10" s="461"/>
      <c r="D10" s="462"/>
      <c r="E10" s="462"/>
      <c r="F10" s="531"/>
      <c r="G10" s="461"/>
      <c r="H10" s="531"/>
      <c r="I10" s="461"/>
      <c r="J10" s="531"/>
      <c r="K10" s="461"/>
      <c r="L10" s="531"/>
      <c r="M10" s="462"/>
      <c r="N10" s="591"/>
    </row>
    <row r="11" spans="1:16" ht="13.5" customHeight="1" x14ac:dyDescent="0.25">
      <c r="A11" s="142" t="str">
        <f>"@Data"</f>
        <v>@Data</v>
      </c>
      <c r="B11" s="229"/>
      <c r="C11" s="447"/>
      <c r="D11" s="440"/>
      <c r="E11" s="440"/>
      <c r="F11" s="469"/>
      <c r="G11" s="442"/>
      <c r="H11" s="443"/>
      <c r="I11" s="442"/>
      <c r="J11" s="443"/>
      <c r="K11" s="442"/>
      <c r="L11" s="443"/>
      <c r="M11" s="440"/>
      <c r="N11" s="441"/>
    </row>
    <row r="12" spans="1:16" ht="12.75" customHeight="1" x14ac:dyDescent="0.25">
      <c r="A12" s="142"/>
      <c r="B12" s="229"/>
      <c r="C12" s="447"/>
      <c r="D12" s="440"/>
      <c r="E12" s="440"/>
      <c r="F12" s="469"/>
      <c r="G12" s="442"/>
      <c r="H12" s="443"/>
      <c r="I12" s="442"/>
      <c r="J12" s="443"/>
      <c r="K12" s="442"/>
      <c r="L12" s="443"/>
      <c r="M12" s="440"/>
      <c r="N12" s="441"/>
    </row>
    <row r="13" spans="1:16" ht="12.75" customHeight="1" x14ac:dyDescent="0.25">
      <c r="A13" s="142"/>
      <c r="B13" s="229"/>
      <c r="C13" s="447"/>
      <c r="D13" s="440"/>
      <c r="E13" s="440"/>
      <c r="F13" s="469"/>
      <c r="G13" s="442"/>
      <c r="H13" s="443"/>
      <c r="I13" s="442"/>
      <c r="J13" s="443"/>
      <c r="K13" s="442"/>
      <c r="L13" s="443"/>
      <c r="M13" s="440"/>
      <c r="N13" s="441"/>
    </row>
    <row r="14" spans="1:16" ht="12.75" customHeight="1" x14ac:dyDescent="0.25">
      <c r="A14" s="142"/>
      <c r="B14" s="229"/>
      <c r="C14" s="447"/>
      <c r="D14" s="440"/>
      <c r="E14" s="440"/>
      <c r="F14" s="469"/>
      <c r="G14" s="442"/>
      <c r="H14" s="443"/>
      <c r="I14" s="442"/>
      <c r="J14" s="443"/>
      <c r="K14" s="442"/>
      <c r="L14" s="443"/>
      <c r="M14" s="440"/>
      <c r="N14" s="441"/>
    </row>
    <row r="15" spans="1:16" ht="12.75" customHeight="1" x14ac:dyDescent="0.25">
      <c r="A15" s="142"/>
      <c r="B15" s="229"/>
      <c r="C15" s="447"/>
      <c r="D15" s="440"/>
      <c r="E15" s="440"/>
      <c r="F15" s="469"/>
      <c r="G15" s="442"/>
      <c r="H15" s="443"/>
      <c r="I15" s="442"/>
      <c r="J15" s="443"/>
      <c r="K15" s="442"/>
      <c r="L15" s="443"/>
      <c r="M15" s="440"/>
      <c r="N15" s="441"/>
    </row>
    <row r="16" spans="1:16" ht="12.75" customHeight="1" x14ac:dyDescent="0.25">
      <c r="A16" s="142"/>
      <c r="B16" s="229"/>
      <c r="C16" s="447"/>
      <c r="D16" s="440"/>
      <c r="E16" s="440"/>
      <c r="F16" s="469"/>
      <c r="G16" s="442"/>
      <c r="H16" s="443"/>
      <c r="I16" s="442"/>
      <c r="J16" s="443"/>
      <c r="K16" s="442"/>
      <c r="L16" s="443"/>
      <c r="M16" s="440"/>
      <c r="N16" s="441"/>
    </row>
    <row r="17" spans="1:14" ht="12.75" customHeight="1" x14ac:dyDescent="0.25">
      <c r="A17" s="142"/>
      <c r="B17" s="229"/>
      <c r="C17" s="447"/>
      <c r="D17" s="440"/>
      <c r="E17" s="440"/>
      <c r="F17" s="469"/>
      <c r="G17" s="442"/>
      <c r="H17" s="443"/>
      <c r="I17" s="442"/>
      <c r="J17" s="443"/>
      <c r="K17" s="442"/>
      <c r="L17" s="443"/>
      <c r="M17" s="440"/>
      <c r="N17" s="441"/>
    </row>
    <row r="18" spans="1:14" ht="12.75" customHeight="1" x14ac:dyDescent="0.25">
      <c r="A18" s="142"/>
      <c r="B18" s="229"/>
      <c r="C18" s="447"/>
      <c r="D18" s="440"/>
      <c r="E18" s="440"/>
      <c r="F18" s="469"/>
      <c r="G18" s="442"/>
      <c r="H18" s="443"/>
      <c r="I18" s="442"/>
      <c r="J18" s="443"/>
      <c r="K18" s="442"/>
      <c r="L18" s="443"/>
      <c r="M18" s="440"/>
      <c r="N18" s="441"/>
    </row>
    <row r="19" spans="1:14" ht="12.75" customHeight="1" x14ac:dyDescent="0.25">
      <c r="A19" s="142"/>
      <c r="B19" s="229"/>
      <c r="C19" s="447"/>
      <c r="D19" s="440"/>
      <c r="E19" s="440"/>
      <c r="F19" s="469"/>
      <c r="G19" s="442"/>
      <c r="H19" s="443"/>
      <c r="I19" s="442"/>
      <c r="J19" s="443"/>
      <c r="K19" s="442"/>
      <c r="L19" s="443"/>
      <c r="M19" s="440"/>
      <c r="N19" s="441"/>
    </row>
    <row r="20" spans="1:14" ht="12.75" customHeight="1" x14ac:dyDescent="0.25">
      <c r="A20" s="142"/>
      <c r="B20" s="229"/>
      <c r="C20" s="447"/>
      <c r="D20" s="440"/>
      <c r="E20" s="440"/>
      <c r="F20" s="469"/>
      <c r="G20" s="442"/>
      <c r="H20" s="443"/>
      <c r="I20" s="442"/>
      <c r="J20" s="443"/>
      <c r="K20" s="442"/>
      <c r="L20" s="443"/>
      <c r="M20" s="440"/>
      <c r="N20" s="441"/>
    </row>
    <row r="21" spans="1:14" s="2" customFormat="1" ht="12.75" customHeight="1" x14ac:dyDescent="0.25">
      <c r="A21" s="142"/>
      <c r="B21" s="229"/>
      <c r="C21" s="447"/>
      <c r="D21" s="440"/>
      <c r="E21" s="440"/>
      <c r="F21" s="469"/>
      <c r="G21" s="442"/>
      <c r="H21" s="443"/>
      <c r="I21" s="442"/>
      <c r="J21" s="443"/>
      <c r="K21" s="442"/>
      <c r="L21" s="443"/>
      <c r="M21" s="440"/>
      <c r="N21" s="441"/>
    </row>
    <row r="22" spans="1:14" ht="12.75" customHeight="1" x14ac:dyDescent="0.25">
      <c r="A22" s="142"/>
      <c r="B22" s="229"/>
      <c r="C22" s="447"/>
      <c r="D22" s="440"/>
      <c r="E22" s="440"/>
      <c r="F22" s="469"/>
      <c r="G22" s="442"/>
      <c r="H22" s="443"/>
      <c r="I22" s="442"/>
      <c r="J22" s="443"/>
      <c r="K22" s="442"/>
      <c r="L22" s="443"/>
      <c r="M22" s="440"/>
      <c r="N22" s="441"/>
    </row>
    <row r="23" spans="1:14" ht="12.75" customHeight="1" x14ac:dyDescent="0.25">
      <c r="A23" s="142"/>
      <c r="B23" s="229"/>
      <c r="C23" s="447"/>
      <c r="D23" s="440"/>
      <c r="E23" s="440"/>
      <c r="F23" s="469"/>
      <c r="G23" s="442"/>
      <c r="H23" s="443"/>
      <c r="I23" s="442"/>
      <c r="J23" s="443"/>
      <c r="K23" s="442"/>
      <c r="L23" s="443"/>
      <c r="M23" s="440"/>
      <c r="N23" s="441"/>
    </row>
    <row r="24" spans="1:14" ht="12.75" customHeight="1" x14ac:dyDescent="0.25">
      <c r="A24" s="142"/>
      <c r="B24" s="229"/>
      <c r="C24" s="447"/>
      <c r="D24" s="440"/>
      <c r="E24" s="440"/>
      <c r="F24" s="469"/>
      <c r="G24" s="442"/>
      <c r="H24" s="443"/>
      <c r="I24" s="442"/>
      <c r="J24" s="443"/>
      <c r="K24" s="442"/>
      <c r="L24" s="443"/>
      <c r="M24" s="440"/>
      <c r="N24" s="441"/>
    </row>
    <row r="25" spans="1:14" ht="12.75" customHeight="1" x14ac:dyDescent="0.25">
      <c r="A25" s="142"/>
      <c r="B25" s="229"/>
      <c r="C25" s="447"/>
      <c r="D25" s="440"/>
      <c r="E25" s="440"/>
      <c r="F25" s="469"/>
      <c r="G25" s="442"/>
      <c r="H25" s="443"/>
      <c r="I25" s="442"/>
      <c r="J25" s="443"/>
      <c r="K25" s="442"/>
      <c r="L25" s="443"/>
      <c r="M25" s="440"/>
      <c r="N25" s="441"/>
    </row>
    <row r="26" spans="1:14" ht="12.75" customHeight="1" x14ac:dyDescent="0.25">
      <c r="A26" s="142"/>
      <c r="B26" s="229"/>
      <c r="C26" s="447"/>
      <c r="D26" s="440"/>
      <c r="E26" s="440"/>
      <c r="F26" s="469"/>
      <c r="G26" s="442"/>
      <c r="H26" s="443"/>
      <c r="I26" s="442"/>
      <c r="J26" s="443"/>
      <c r="K26" s="442"/>
      <c r="L26" s="443"/>
      <c r="M26" s="440"/>
      <c r="N26" s="441"/>
    </row>
    <row r="27" spans="1:14" ht="12.75" customHeight="1" x14ac:dyDescent="0.25">
      <c r="A27" s="142"/>
      <c r="B27" s="229"/>
      <c r="C27" s="447"/>
      <c r="D27" s="440"/>
      <c r="E27" s="440"/>
      <c r="F27" s="469"/>
      <c r="G27" s="442"/>
      <c r="H27" s="443"/>
      <c r="I27" s="442"/>
      <c r="J27" s="443"/>
      <c r="K27" s="442"/>
      <c r="L27" s="443"/>
      <c r="M27" s="440"/>
      <c r="N27" s="441"/>
    </row>
    <row r="28" spans="1:14" ht="12.75" customHeight="1" x14ac:dyDescent="0.25">
      <c r="A28" s="142"/>
      <c r="B28" s="229"/>
      <c r="C28" s="447"/>
      <c r="D28" s="440"/>
      <c r="E28" s="440"/>
      <c r="F28" s="469"/>
      <c r="G28" s="442"/>
      <c r="H28" s="443"/>
      <c r="I28" s="442"/>
      <c r="J28" s="443"/>
      <c r="K28" s="442"/>
      <c r="L28" s="443"/>
      <c r="M28" s="440"/>
      <c r="N28" s="441"/>
    </row>
    <row r="29" spans="1:14" ht="12.75" customHeight="1" x14ac:dyDescent="0.25">
      <c r="A29" s="142"/>
      <c r="B29" s="229"/>
      <c r="C29" s="447"/>
      <c r="D29" s="440"/>
      <c r="E29" s="440"/>
      <c r="F29" s="469"/>
      <c r="G29" s="442"/>
      <c r="H29" s="443"/>
      <c r="I29" s="442"/>
      <c r="J29" s="443"/>
      <c r="K29" s="442"/>
      <c r="L29" s="443"/>
      <c r="M29" s="440"/>
      <c r="N29" s="441"/>
    </row>
    <row r="30" spans="1:14" ht="12.75" customHeight="1" x14ac:dyDescent="0.25">
      <c r="A30" s="142"/>
      <c r="B30" s="229"/>
      <c r="C30" s="447"/>
      <c r="D30" s="440"/>
      <c r="E30" s="440"/>
      <c r="F30" s="469"/>
      <c r="G30" s="442"/>
      <c r="H30" s="443"/>
      <c r="I30" s="442"/>
      <c r="J30" s="443"/>
      <c r="K30" s="442"/>
      <c r="L30" s="443"/>
      <c r="M30" s="440"/>
      <c r="N30" s="441"/>
    </row>
    <row r="31" spans="1:14" ht="12.75" customHeight="1" x14ac:dyDescent="0.25">
      <c r="A31" s="142"/>
      <c r="B31" s="229"/>
      <c r="C31" s="447"/>
      <c r="D31" s="440"/>
      <c r="E31" s="440"/>
      <c r="F31" s="469"/>
      <c r="G31" s="442"/>
      <c r="H31" s="443"/>
      <c r="I31" s="442"/>
      <c r="J31" s="443"/>
      <c r="K31" s="442"/>
      <c r="L31" s="443"/>
      <c r="M31" s="440"/>
      <c r="N31" s="441"/>
    </row>
    <row r="32" spans="1:14" ht="12.75" customHeight="1" x14ac:dyDescent="0.25">
      <c r="A32" s="142"/>
      <c r="B32" s="229"/>
      <c r="C32" s="447"/>
      <c r="D32" s="440"/>
      <c r="E32" s="440"/>
      <c r="F32" s="469"/>
      <c r="G32" s="442"/>
      <c r="H32" s="443"/>
      <c r="I32" s="442"/>
      <c r="J32" s="443"/>
      <c r="K32" s="442"/>
      <c r="L32" s="443"/>
      <c r="M32" s="440"/>
      <c r="N32" s="441"/>
    </row>
    <row r="33" spans="1:14" ht="12.75" customHeight="1" x14ac:dyDescent="0.25">
      <c r="A33" s="142"/>
      <c r="B33" s="229"/>
      <c r="C33" s="447"/>
      <c r="D33" s="440"/>
      <c r="E33" s="440"/>
      <c r="F33" s="469"/>
      <c r="G33" s="442"/>
      <c r="H33" s="443"/>
      <c r="I33" s="442"/>
      <c r="J33" s="443"/>
      <c r="K33" s="442"/>
      <c r="L33" s="443"/>
      <c r="M33" s="440"/>
      <c r="N33" s="441"/>
    </row>
    <row r="34" spans="1:14" ht="12.75" customHeight="1" x14ac:dyDescent="0.25">
      <c r="A34" s="142"/>
      <c r="B34" s="229"/>
      <c r="C34" s="447"/>
      <c r="D34" s="440"/>
      <c r="E34" s="440"/>
      <c r="F34" s="469"/>
      <c r="G34" s="442"/>
      <c r="H34" s="443"/>
      <c r="I34" s="442"/>
      <c r="J34" s="443"/>
      <c r="K34" s="442"/>
      <c r="L34" s="443"/>
      <c r="M34" s="440"/>
      <c r="N34" s="441"/>
    </row>
    <row r="35" spans="1:14" ht="12.75" customHeight="1" x14ac:dyDescent="0.25">
      <c r="A35" s="142"/>
      <c r="B35" s="229"/>
      <c r="C35" s="447"/>
      <c r="D35" s="440"/>
      <c r="E35" s="440"/>
      <c r="F35" s="469"/>
      <c r="G35" s="442"/>
      <c r="H35" s="443"/>
      <c r="I35" s="442"/>
      <c r="J35" s="443"/>
      <c r="K35" s="442"/>
      <c r="L35" s="443"/>
      <c r="M35" s="440"/>
      <c r="N35" s="441"/>
    </row>
    <row r="36" spans="1:14" ht="12.75" customHeight="1" x14ac:dyDescent="0.25">
      <c r="A36" s="142"/>
      <c r="B36" s="229"/>
      <c r="C36" s="447"/>
      <c r="D36" s="440"/>
      <c r="E36" s="440"/>
      <c r="F36" s="469"/>
      <c r="G36" s="442"/>
      <c r="H36" s="443"/>
      <c r="I36" s="442"/>
      <c r="J36" s="443"/>
      <c r="K36" s="442"/>
      <c r="L36" s="443"/>
      <c r="M36" s="440"/>
      <c r="N36" s="441"/>
    </row>
    <row r="37" spans="1:14" ht="12.75" customHeight="1" thickBot="1" x14ac:dyDescent="0.3">
      <c r="A37" s="144"/>
      <c r="B37" s="231"/>
      <c r="C37" s="466"/>
      <c r="D37" s="453"/>
      <c r="E37" s="453"/>
      <c r="F37" s="470"/>
      <c r="G37" s="450"/>
      <c r="H37" s="451"/>
      <c r="I37" s="450"/>
      <c r="J37" s="451"/>
      <c r="K37" s="450"/>
      <c r="L37" s="451"/>
      <c r="M37" s="453"/>
      <c r="N37" s="454"/>
    </row>
    <row r="39" spans="1:14" x14ac:dyDescent="0.25">
      <c r="I39" s="68"/>
      <c r="J39" s="68"/>
      <c r="K39" s="403" t="s">
        <v>263</v>
      </c>
      <c r="L39" s="403"/>
      <c r="M39" s="452">
        <f>SUM(M11:M37)</f>
        <v>0</v>
      </c>
      <c r="N39" s="452"/>
    </row>
  </sheetData>
  <mergeCells count="171">
    <mergeCell ref="C33:F33"/>
    <mergeCell ref="G33:H33"/>
    <mergeCell ref="C35:F35"/>
    <mergeCell ref="G35:H35"/>
    <mergeCell ref="C32:F32"/>
    <mergeCell ref="G32:H32"/>
    <mergeCell ref="C28:F28"/>
    <mergeCell ref="G28:H28"/>
    <mergeCell ref="I28:J28"/>
    <mergeCell ref="I36:J36"/>
    <mergeCell ref="I33:J33"/>
    <mergeCell ref="C34:F34"/>
    <mergeCell ref="G34:H34"/>
    <mergeCell ref="I34:J34"/>
    <mergeCell ref="I35:J35"/>
    <mergeCell ref="C36:F36"/>
    <mergeCell ref="C21:F21"/>
    <mergeCell ref="G21:H21"/>
    <mergeCell ref="I30:J30"/>
    <mergeCell ref="C31:F31"/>
    <mergeCell ref="G31:H31"/>
    <mergeCell ref="I31:J31"/>
    <mergeCell ref="C30:F30"/>
    <mergeCell ref="G30:H30"/>
    <mergeCell ref="C29:F29"/>
    <mergeCell ref="G29:H29"/>
    <mergeCell ref="C37:F37"/>
    <mergeCell ref="C14:F14"/>
    <mergeCell ref="G14:H14"/>
    <mergeCell ref="I14:J14"/>
    <mergeCell ref="I15:J15"/>
    <mergeCell ref="C15:F15"/>
    <mergeCell ref="G15:H15"/>
    <mergeCell ref="C20:F20"/>
    <mergeCell ref="G20:H20"/>
    <mergeCell ref="I20:J20"/>
    <mergeCell ref="G17:H17"/>
    <mergeCell ref="I17:J17"/>
    <mergeCell ref="K39:L39"/>
    <mergeCell ref="M39:N39"/>
    <mergeCell ref="K35:L35"/>
    <mergeCell ref="M35:N35"/>
    <mergeCell ref="G36:H36"/>
    <mergeCell ref="I21:J21"/>
    <mergeCell ref="I29:J29"/>
    <mergeCell ref="I32:J32"/>
    <mergeCell ref="M37:N37"/>
    <mergeCell ref="C9:F9"/>
    <mergeCell ref="G9:H9"/>
    <mergeCell ref="I9:J9"/>
    <mergeCell ref="C10:F10"/>
    <mergeCell ref="C11:F11"/>
    <mergeCell ref="G10:H10"/>
    <mergeCell ref="G11:H11"/>
    <mergeCell ref="I10:J10"/>
    <mergeCell ref="G18:H18"/>
    <mergeCell ref="M31:N31"/>
    <mergeCell ref="K32:L32"/>
    <mergeCell ref="M32:N32"/>
    <mergeCell ref="K33:L33"/>
    <mergeCell ref="M33:N33"/>
    <mergeCell ref="G37:H37"/>
    <mergeCell ref="I37:J37"/>
    <mergeCell ref="K36:L36"/>
    <mergeCell ref="M36:N36"/>
    <mergeCell ref="K37:L37"/>
    <mergeCell ref="K34:L34"/>
    <mergeCell ref="M34:N34"/>
    <mergeCell ref="M29:N29"/>
    <mergeCell ref="K30:L30"/>
    <mergeCell ref="M30:N30"/>
    <mergeCell ref="K27:L27"/>
    <mergeCell ref="M27:N27"/>
    <mergeCell ref="K28:L28"/>
    <mergeCell ref="M28:N28"/>
    <mergeCell ref="K31:L31"/>
    <mergeCell ref="C25:F25"/>
    <mergeCell ref="G25:H25"/>
    <mergeCell ref="I25:J25"/>
    <mergeCell ref="K29:L29"/>
    <mergeCell ref="C26:F26"/>
    <mergeCell ref="G26:H26"/>
    <mergeCell ref="I26:J26"/>
    <mergeCell ref="I27:J27"/>
    <mergeCell ref="C27:F27"/>
    <mergeCell ref="G27:H27"/>
    <mergeCell ref="M24:N24"/>
    <mergeCell ref="K25:L25"/>
    <mergeCell ref="M25:N25"/>
    <mergeCell ref="K26:L26"/>
    <mergeCell ref="M26:N26"/>
    <mergeCell ref="K24:L24"/>
    <mergeCell ref="C22:F22"/>
    <mergeCell ref="G22:H22"/>
    <mergeCell ref="I22:J22"/>
    <mergeCell ref="C24:F24"/>
    <mergeCell ref="I23:J23"/>
    <mergeCell ref="G24:H24"/>
    <mergeCell ref="C23:F23"/>
    <mergeCell ref="G23:H23"/>
    <mergeCell ref="I24:J24"/>
    <mergeCell ref="K19:L19"/>
    <mergeCell ref="M19:N19"/>
    <mergeCell ref="M22:N22"/>
    <mergeCell ref="K22:L22"/>
    <mergeCell ref="M23:N23"/>
    <mergeCell ref="K20:L20"/>
    <mergeCell ref="M20:N20"/>
    <mergeCell ref="K21:L21"/>
    <mergeCell ref="M21:N21"/>
    <mergeCell ref="K23:L23"/>
    <mergeCell ref="C19:F19"/>
    <mergeCell ref="G19:H19"/>
    <mergeCell ref="I19:J19"/>
    <mergeCell ref="K16:L16"/>
    <mergeCell ref="K18:L18"/>
    <mergeCell ref="I18:J18"/>
    <mergeCell ref="C16:F16"/>
    <mergeCell ref="G16:H16"/>
    <mergeCell ref="I16:J16"/>
    <mergeCell ref="C18:F18"/>
    <mergeCell ref="M16:N16"/>
    <mergeCell ref="K17:L17"/>
    <mergeCell ref="M17:N17"/>
    <mergeCell ref="K14:L14"/>
    <mergeCell ref="M14:N14"/>
    <mergeCell ref="K15:L15"/>
    <mergeCell ref="M15:N15"/>
    <mergeCell ref="M18:N18"/>
    <mergeCell ref="C17:F17"/>
    <mergeCell ref="C12:F12"/>
    <mergeCell ref="G12:H12"/>
    <mergeCell ref="I12:J12"/>
    <mergeCell ref="C13:F13"/>
    <mergeCell ref="G13:H13"/>
    <mergeCell ref="I13:J13"/>
    <mergeCell ref="K12:L12"/>
    <mergeCell ref="M12:N12"/>
    <mergeCell ref="K13:L13"/>
    <mergeCell ref="M13:N13"/>
    <mergeCell ref="A8:N8"/>
    <mergeCell ref="K9:L9"/>
    <mergeCell ref="M9:N9"/>
    <mergeCell ref="K10:L10"/>
    <mergeCell ref="M10:N10"/>
    <mergeCell ref="K11:L11"/>
    <mergeCell ref="M11:N11"/>
    <mergeCell ref="I11:J11"/>
    <mergeCell ref="M5:N5"/>
    <mergeCell ref="G4:H4"/>
    <mergeCell ref="I4:J4"/>
    <mergeCell ref="K4:L4"/>
    <mergeCell ref="M4:N4"/>
    <mergeCell ref="G6:H6"/>
    <mergeCell ref="I6:N6"/>
    <mergeCell ref="A7:B7"/>
    <mergeCell ref="C7:N7"/>
    <mergeCell ref="G1:H1"/>
    <mergeCell ref="I1:J1"/>
    <mergeCell ref="K1:L1"/>
    <mergeCell ref="G2:H2"/>
    <mergeCell ref="I2:J2"/>
    <mergeCell ref="G5:H5"/>
    <mergeCell ref="I5:J5"/>
    <mergeCell ref="K5:L5"/>
    <mergeCell ref="K2:L2"/>
    <mergeCell ref="M2:N2"/>
    <mergeCell ref="G3:H3"/>
    <mergeCell ref="I3:J3"/>
    <mergeCell ref="K3:L3"/>
    <mergeCell ref="M3:N3"/>
  </mergeCells>
  <phoneticPr fontId="0" type="noConversion"/>
  <dataValidations count="2">
    <dataValidation type="list" allowBlank="1" showInputMessage="1" showErrorMessage="1" sqref="G11:H36" xr:uid="{54613A68-E55C-4370-B024-0995AD2539BD}">
      <formula1>RoofColors</formula1>
    </dataValidation>
    <dataValidation type="list" allowBlank="1" showInputMessage="1" showErrorMessage="1" sqref="C11:F36" xr:uid="{0D868DBF-FDEE-414F-A588-8B6C982968CE}">
      <formula1>SSRSkylight</formula1>
    </dataValidation>
  </dataValidations>
  <pageMargins left="0.25" right="0.25" top="0.25" bottom="0.25" header="0.5" footer="0.5"/>
  <pageSetup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30F5F71F76CA45A10230FD51B793C3" ma:contentTypeVersion="7" ma:contentTypeDescription="Create a new document." ma:contentTypeScope="" ma:versionID="28fbcf3b326d741df0ce64ab9f0d2dab">
  <xsd:schema xmlns:xsd="http://www.w3.org/2001/XMLSchema" xmlns:xs="http://www.w3.org/2001/XMLSchema" xmlns:p="http://schemas.microsoft.com/office/2006/metadata/properties" xmlns:ns2="9a65c442-5fec-4a1c-aeed-22b3c2f9970b" targetNamespace="http://schemas.microsoft.com/office/2006/metadata/properties" ma:root="true" ma:fieldsID="cb982d3cfe4bec8acbf9547794531dd7" ns2:_="">
    <xsd:import namespace="9a65c442-5fec-4a1c-aeed-22b3c2f99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c442-5fec-4a1c-aeed-22b3c2f99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B6ECD5-B5F6-485C-94C0-ABEA468EB1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9CB5D9-F5FE-45D6-B343-C5367389FB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c442-5fec-4a1c-aeed-22b3c2f997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A087CD-08CD-4455-A7A2-09BE3E82B0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71</vt:i4>
      </vt:variant>
    </vt:vector>
  </HeadingPairs>
  <TitlesOfParts>
    <vt:vector size="120" baseType="lpstr">
      <vt:lpstr>Cover</vt:lpstr>
      <vt:lpstr>Eave Struts</vt:lpstr>
      <vt:lpstr>Cold Form Members (CEE)</vt:lpstr>
      <vt:lpstr>Cold Form Members (ZEE)</vt:lpstr>
      <vt:lpstr>Cold Form Members (ZEE) (2)</vt:lpstr>
      <vt:lpstr>Cold Form Members (ZEE) (3)</vt:lpstr>
      <vt:lpstr>Misc. Cold Form</vt:lpstr>
      <vt:lpstr>Clips</vt:lpstr>
      <vt:lpstr>Pre-Galv Clips</vt:lpstr>
      <vt:lpstr>Standing Seam Hardware</vt:lpstr>
      <vt:lpstr>Screws</vt:lpstr>
      <vt:lpstr>34</vt:lpstr>
      <vt:lpstr>33</vt:lpstr>
      <vt:lpstr>Logos-ASB2</vt:lpstr>
      <vt:lpstr>Data Page</vt:lpstr>
      <vt:lpstr>AdjShip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35</vt:lpstr>
      <vt:lpstr>Base</vt:lpstr>
      <vt:lpstr>BoltColor</vt:lpstr>
      <vt:lpstr>BoltLength</vt:lpstr>
      <vt:lpstr>Bolts</vt:lpstr>
      <vt:lpstr>Cees</vt:lpstr>
      <vt:lpstr>ClipDesc</vt:lpstr>
      <vt:lpstr>Clips</vt:lpstr>
      <vt:lpstr>Closer</vt:lpstr>
      <vt:lpstr>Coatings</vt:lpstr>
      <vt:lpstr>CoatingsMinus</vt:lpstr>
      <vt:lpstr>ColdForm</vt:lpstr>
      <vt:lpstr>Colors</vt:lpstr>
      <vt:lpstr>COMTRIM</vt:lpstr>
      <vt:lpstr>DoorColor</vt:lpstr>
      <vt:lpstr>Doors</vt:lpstr>
      <vt:lpstr>EaveStruts</vt:lpstr>
      <vt:lpstr>EWPANEL</vt:lpstr>
      <vt:lpstr>FBDesc</vt:lpstr>
      <vt:lpstr>FinTrim</vt:lpstr>
      <vt:lpstr>FinType</vt:lpstr>
      <vt:lpstr>FlangeBraces</vt:lpstr>
      <vt:lpstr>Frame</vt:lpstr>
      <vt:lpstr>FrameColor</vt:lpstr>
      <vt:lpstr>FrameSize</vt:lpstr>
      <vt:lpstr>Gage</vt:lpstr>
      <vt:lpstr>GalvClipDesc</vt:lpstr>
      <vt:lpstr>GalvClips</vt:lpstr>
      <vt:lpstr>Glass</vt:lpstr>
      <vt:lpstr>Handle</vt:lpstr>
      <vt:lpstr>HotRolled</vt:lpstr>
      <vt:lpstr>Locks</vt:lpstr>
      <vt:lpstr>Louvers</vt:lpstr>
      <vt:lpstr>MasticColor</vt:lpstr>
      <vt:lpstr>Misc.</vt:lpstr>
      <vt:lpstr>Misc.Color</vt:lpstr>
      <vt:lpstr>Misc.Des</vt:lpstr>
      <vt:lpstr>Misc.Length</vt:lpstr>
      <vt:lpstr>Misc.Part</vt:lpstr>
      <vt:lpstr>Misc.Part2</vt:lpstr>
      <vt:lpstr>Mullion</vt:lpstr>
      <vt:lpstr>PANELS</vt:lpstr>
      <vt:lpstr>PGColor</vt:lpstr>
      <vt:lpstr>'1'!Print_Area</vt:lpstr>
      <vt:lpstr>Cover!Print_Area</vt:lpstr>
      <vt:lpstr>RidgeColor</vt:lpstr>
      <vt:lpstr>RidgeFins</vt:lpstr>
      <vt:lpstr>RidgeVents</vt:lpstr>
      <vt:lpstr>ROOF</vt:lpstr>
      <vt:lpstr>RoofColors</vt:lpstr>
      <vt:lpstr>Screen</vt:lpstr>
      <vt:lpstr>ScrewColors</vt:lpstr>
      <vt:lpstr>ScrewLength</vt:lpstr>
      <vt:lpstr>Screws</vt:lpstr>
      <vt:lpstr>Skirt</vt:lpstr>
      <vt:lpstr>SSR</vt:lpstr>
      <vt:lpstr>SSRHDW</vt:lpstr>
      <vt:lpstr>SSRHDWDESC</vt:lpstr>
      <vt:lpstr>SSRSkylight</vt:lpstr>
      <vt:lpstr>Swing</vt:lpstr>
      <vt:lpstr>SWPANEL</vt:lpstr>
      <vt:lpstr>TRIMDATA</vt:lpstr>
      <vt:lpstr>TRIMDESC</vt:lpstr>
      <vt:lpstr>TRIMMARK</vt:lpstr>
      <vt:lpstr>VentColor</vt:lpstr>
      <vt:lpstr>Vents</vt:lpstr>
      <vt:lpstr>Wind</vt:lpstr>
      <vt:lpstr>WindowGlass</vt:lpstr>
      <vt:lpstr>WindowMark</vt:lpstr>
      <vt:lpstr>Windows</vt:lpstr>
      <vt:lpstr>WindowsDesc</vt:lpstr>
      <vt:lpstr>Zees</vt:lpstr>
    </vt:vector>
  </TitlesOfParts>
  <Company>Unknown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Eduar Guerrero</cp:lastModifiedBy>
  <cp:lastPrinted>2011-01-11T20:41:37Z</cp:lastPrinted>
  <dcterms:created xsi:type="dcterms:W3CDTF">2001-11-23T14:07:30Z</dcterms:created>
  <dcterms:modified xsi:type="dcterms:W3CDTF">2026-05-07T20:18:04Z</dcterms:modified>
</cp:coreProperties>
</file>